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<sst xmlns="http://schemas.openxmlformats.org/spreadsheetml/2006/main" count="28" uniqueCount="23">
  <si>
    <t xml:space="preserve">A</t>
  </si>
  <si>
    <t xml:space="preserve">n</t>
  </si>
  <si>
    <t xml:space="preserve">\nu_n^{теор}, кГц</t>
  </si>
  <si>
    <t xml:space="preserve">\nu_n^{эксп}, кГц</t>
  </si>
  <si>
    <t xml:space="preserve">|a_n|^{эксп}, мВ</t>
  </si>
  <si>
    <t xml:space="preserve">|a_n/a_1|^{эксп}, мВ</t>
  </si>
  <si>
    <t xml:space="preserve">|a_n/a_1|^{теор}, мВ</t>
  </si>
  <si>
    <t xml:space="preserve">T, мс</t>
  </si>
  <si>
    <t xml:space="preserve">\tau, мкс</t>
  </si>
  <si>
    <t xml:space="preserve">k, Гц*с
</t>
  </si>
  <si>
    <t xml:space="preserve">\sigma_k, Гц*с</t>
  </si>
  <si>
    <t xml:space="preserve">\varepsilon_k, %</t>
  </si>
  <si>
    <t xml:space="preserve">\Delta \nu, кГц</t>
  </si>
  <si>
    <t xml:space="preserve">T, мкс</t>
  </si>
  <si>
    <t xml:space="preserve">\delta \nu, кГц</t>
  </si>
  <si>
    <t xml:space="preserve">Г</t>
  </si>
  <si>
    <t xml:space="preserve">m, %</t>
  </si>
  <si>
    <t xml:space="preserve">a_{осн}, мВ</t>
  </si>
  <si>
    <t xml:space="preserve">K
</t>
  </si>
  <si>
    <t xml:space="preserve">\sigma_k</t>
  </si>
  <si>
    <t xml:space="preserve">a_{бок}, мВ</t>
  </si>
  <si>
    <t xml:space="preserve">(a_{бок}/a_{осн})^{эксп}</t>
  </si>
  <si>
    <t xml:space="preserve">(a_{бок}/a_{осн})^{теор}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</si>
</sst>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true" showOutlineSymbols="true" defaultGridColor="true" view="normal" topLeftCell="A13" colorId="64" zoomScale="140" zoomScaleNormal="140" zoomScalePageLayoutView="100" workbookViewId="0">
      <selection pane="topLeft" activeCell="L26" activeCellId="0" sqref="L2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</row>
    <row r="3" customFormat="false" ht="12.8" hidden="false" customHeight="false" outlineLevel="0" collapsed="false">
      <c r="A3" s="1" t="s">
        <v>1</v>
      </c>
      <c r="B3" s="1" t="n">
        <v>1</v>
      </c>
      <c r="C3" s="1" t="n">
        <v>2</v>
      </c>
      <c r="D3" s="1" t="n">
        <v>3</v>
      </c>
      <c r="E3" s="1" t="n">
        <v>4</v>
      </c>
      <c r="F3" s="1" t="n">
        <v>5</v>
      </c>
      <c r="G3" s="1" t="n">
        <v>6</v>
      </c>
      <c r="H3" s="1" t="n">
        <v>7</v>
      </c>
      <c r="I3" s="1" t="n">
        <v>8</v>
      </c>
    </row>
    <row r="4" customFormat="false" ht="12.8" hidden="false" customHeight="false" outlineLevel="0" collapsed="false">
      <c r="A4" s="1" t="s">
        <v>2</v>
      </c>
      <c r="B4" s="1" t="n">
        <v>1.04</v>
      </c>
      <c r="C4" s="1" t="n">
        <v>2.004</v>
      </c>
      <c r="D4" s="1" t="n">
        <v>3.017</v>
      </c>
      <c r="E4" s="1" t="n">
        <v>3.988</v>
      </c>
      <c r="F4" s="1" t="n">
        <v>4.994</v>
      </c>
      <c r="G4" s="1" t="n">
        <v>6.001</v>
      </c>
      <c r="H4" s="1" t="n">
        <v>7.008</v>
      </c>
      <c r="I4" s="1" t="n">
        <v>7.978</v>
      </c>
    </row>
    <row r="5" customFormat="false" ht="12.8" hidden="false" customHeight="false" outlineLevel="0" collapsed="false">
      <c r="A5" s="1" t="s">
        <v>3</v>
      </c>
      <c r="B5" s="1" t="n">
        <v>1</v>
      </c>
      <c r="C5" s="1" t="n">
        <v>2</v>
      </c>
      <c r="D5" s="1" t="n">
        <v>3</v>
      </c>
      <c r="E5" s="1" t="n">
        <v>4</v>
      </c>
      <c r="F5" s="1" t="n">
        <v>5</v>
      </c>
      <c r="G5" s="1" t="n">
        <v>6</v>
      </c>
      <c r="H5" s="1" t="n">
        <v>7</v>
      </c>
      <c r="I5" s="1" t="n">
        <v>8</v>
      </c>
    </row>
    <row r="6" customFormat="false" ht="12.8" hidden="false" customHeight="false" outlineLevel="0" collapsed="false">
      <c r="A6" s="1" t="s">
        <v>4</v>
      </c>
      <c r="B6" s="1" t="n">
        <v>283.3</v>
      </c>
      <c r="C6" s="1" t="n">
        <v>278.1</v>
      </c>
      <c r="D6" s="1" t="n">
        <v>272.2</v>
      </c>
      <c r="E6" s="1" t="n">
        <v>260.4</v>
      </c>
      <c r="F6" s="1" t="n">
        <v>246.5</v>
      </c>
      <c r="G6" s="1" t="n">
        <v>231.2</v>
      </c>
      <c r="H6" s="1" t="n">
        <v>213.9</v>
      </c>
      <c r="I6" s="1" t="n">
        <v>195.1</v>
      </c>
    </row>
    <row r="7" customFormat="false" ht="12.8" hidden="false" customHeight="false" outlineLevel="0" collapsed="false">
      <c r="A7" s="1" t="s">
        <v>5</v>
      </c>
      <c r="B7" s="1" t="n">
        <v>1</v>
      </c>
      <c r="C7" s="1" t="n">
        <f aca="false">C6/$B$6</f>
        <v>0.98164489939993</v>
      </c>
      <c r="D7" s="1" t="n">
        <f aca="false">D6/$B$6</f>
        <v>0.960818919872926</v>
      </c>
      <c r="E7" s="1" t="n">
        <f aca="false">E6/$B$6</f>
        <v>0.91916696081892</v>
      </c>
      <c r="F7" s="1" t="n">
        <f aca="false">F6/$B$6</f>
        <v>0.870102364984116</v>
      </c>
      <c r="G7" s="1" t="n">
        <f aca="false">G6/$B$6</f>
        <v>0.816096011295446</v>
      </c>
      <c r="H7" s="1" t="n">
        <f aca="false">H6/$B$6</f>
        <v>0.755030003529827</v>
      </c>
      <c r="I7" s="1" t="n">
        <f aca="false">I6/$B$6</f>
        <v>0.688669255206495</v>
      </c>
    </row>
    <row r="8" customFormat="false" ht="12.8" hidden="false" customHeight="false" outlineLevel="0" collapsed="false">
      <c r="A8" s="1" t="s">
        <v>6</v>
      </c>
      <c r="B8" s="1" t="n">
        <v>1</v>
      </c>
      <c r="C8" s="1" t="n">
        <f aca="false">SIN(PI()*C3/20)/SIN(PI()/20)/C3</f>
        <v>0.987688340595138</v>
      </c>
      <c r="D8" s="1" t="n">
        <f aca="false">SIN(PI()*D3/20)/SIN(PI()/20)/D3</f>
        <v>0.967371010863436</v>
      </c>
      <c r="E8" s="1" t="n">
        <f aca="false">SIN(PI()*E3/20)/SIN(PI()/20)/E3</f>
        <v>0.939347432391753</v>
      </c>
      <c r="F8" s="1" t="n">
        <f aca="false">SIN(PI()*F3/20)/SIN(PI()/20)/F3</f>
        <v>0.90402940426804</v>
      </c>
      <c r="G8" s="1" t="n">
        <f aca="false">SIN(PI()*G3/20)/SIN(PI()/20)/G3</f>
        <v>0.861933881990018</v>
      </c>
      <c r="H8" s="1" t="n">
        <f aca="false">SIN(PI()*H3/20)/SIN(PI()/20)/H3</f>
        <v>0.813673932275021</v>
      </c>
      <c r="I8" s="1" t="n">
        <f aca="false">SIN(PI()*I3/20)/SIN(PI()/20)/I3</f>
        <v>0.7599480364274</v>
      </c>
    </row>
    <row r="11" customFormat="false" ht="12.8" hidden="false" customHeight="false" outlineLevel="0" collapsed="false">
      <c r="A11" s="1" t="s">
        <v>7</v>
      </c>
      <c r="B11" s="1" t="n">
        <v>1</v>
      </c>
    </row>
    <row r="12" customFormat="false" ht="23.45" hidden="false" customHeight="false" outlineLevel="0" collapsed="false">
      <c r="A12" s="1" t="s">
        <v>8</v>
      </c>
      <c r="B12" s="1" t="n">
        <v>20</v>
      </c>
      <c r="C12" s="1" t="n">
        <v>25</v>
      </c>
      <c r="D12" s="1" t="n">
        <v>40</v>
      </c>
      <c r="E12" s="1" t="n">
        <v>75</v>
      </c>
      <c r="F12" s="1" t="n">
        <v>100</v>
      </c>
      <c r="G12" s="1" t="n">
        <v>150</v>
      </c>
      <c r="H12" s="1" t="n">
        <v>200</v>
      </c>
      <c r="J12" s="2" t="s">
        <v>9</v>
      </c>
      <c r="K12" s="1" t="s">
        <v>10</v>
      </c>
      <c r="L12" s="1" t="s">
        <v>11</v>
      </c>
    </row>
    <row r="13" customFormat="false" ht="12.8" hidden="false" customHeight="false" outlineLevel="0" collapsed="false">
      <c r="A13" s="1" t="s">
        <v>12</v>
      </c>
      <c r="B13" s="1" t="n">
        <v>49.71</v>
      </c>
      <c r="C13" s="1" t="n">
        <v>40.18</v>
      </c>
      <c r="D13" s="1" t="n">
        <v>25.03</v>
      </c>
      <c r="E13" s="1" t="n">
        <v>13.36</v>
      </c>
      <c r="F13" s="1" t="n">
        <v>10.07</v>
      </c>
      <c r="G13" s="1" t="n">
        <v>6.629</v>
      </c>
      <c r="H13" s="1" t="n">
        <v>5.079</v>
      </c>
      <c r="J13" s="3" t="n">
        <v>0.998945126</v>
      </c>
      <c r="K13" s="3" t="n">
        <v>3.7149E-005</v>
      </c>
      <c r="L13" s="1" t="n">
        <f aca="false">K13/J13*100</f>
        <v>0.00371882288957682</v>
      </c>
    </row>
    <row r="16" customFormat="false" ht="12.8" hidden="false" customHeight="false" outlineLevel="0" collapsed="false">
      <c r="A16" s="1" t="s">
        <v>8</v>
      </c>
      <c r="B16" s="1" t="n">
        <v>100</v>
      </c>
    </row>
    <row r="17" customFormat="false" ht="23.45" hidden="false" customHeight="false" outlineLevel="0" collapsed="false">
      <c r="A17" s="1" t="s">
        <v>13</v>
      </c>
      <c r="B17" s="1" t="n">
        <v>200</v>
      </c>
      <c r="C17" s="1" t="n">
        <v>500</v>
      </c>
      <c r="D17" s="1" t="n">
        <v>1000</v>
      </c>
      <c r="E17" s="1" t="n">
        <v>2000</v>
      </c>
      <c r="F17" s="1" t="n">
        <v>3000</v>
      </c>
      <c r="G17" s="1" t="n">
        <v>4000</v>
      </c>
      <c r="H17" s="1" t="n">
        <v>5000</v>
      </c>
      <c r="J17" s="2" t="s">
        <v>9</v>
      </c>
      <c r="K17" s="1" t="s">
        <v>10</v>
      </c>
      <c r="L17" s="1" t="s">
        <v>11</v>
      </c>
    </row>
    <row r="18" customFormat="false" ht="12.8" hidden="false" customHeight="false" outlineLevel="0" collapsed="false">
      <c r="A18" s="1" t="s">
        <v>14</v>
      </c>
      <c r="B18" s="1" t="n">
        <v>9.959</v>
      </c>
      <c r="C18" s="1" t="n">
        <v>1.984</v>
      </c>
      <c r="D18" s="1" t="n">
        <v>0.964</v>
      </c>
      <c r="E18" s="1" t="n">
        <v>0.501</v>
      </c>
      <c r="F18" s="1" t="n">
        <v>0.34</v>
      </c>
      <c r="G18" s="1" t="n">
        <v>0.246</v>
      </c>
      <c r="H18" s="1" t="n">
        <v>0.198</v>
      </c>
      <c r="J18" s="3" t="n">
        <v>0.987796024</v>
      </c>
      <c r="K18" s="3" t="n">
        <v>0.001047938</v>
      </c>
      <c r="L18" s="1" t="n">
        <f aca="false">K18/J18*100</f>
        <v>0.106088501526505</v>
      </c>
    </row>
    <row r="22" customFormat="false" ht="12.8" hidden="false" customHeight="false" outlineLevel="0" collapsed="false">
      <c r="A22" s="1" t="s">
        <v>15</v>
      </c>
    </row>
    <row r="24" customFormat="false" ht="12.8" hidden="false" customHeight="false" outlineLevel="0" collapsed="false">
      <c r="A24" s="1" t="s">
        <v>16</v>
      </c>
      <c r="B24" s="1" t="n">
        <v>10</v>
      </c>
      <c r="C24" s="1" t="n">
        <v>20</v>
      </c>
      <c r="D24" s="1" t="n">
        <v>40</v>
      </c>
      <c r="E24" s="1" t="n">
        <v>50</v>
      </c>
      <c r="F24" s="1" t="n">
        <v>60</v>
      </c>
      <c r="G24" s="1" t="n">
        <v>80</v>
      </c>
      <c r="H24" s="1" t="n">
        <v>100</v>
      </c>
    </row>
    <row r="25" customFormat="false" ht="23.45" hidden="false" customHeight="false" outlineLevel="0" collapsed="false">
      <c r="A25" s="1" t="s">
        <v>17</v>
      </c>
      <c r="B25" s="1" t="n">
        <v>688.8</v>
      </c>
      <c r="C25" s="1" t="n">
        <v>688.8</v>
      </c>
      <c r="D25" s="1" t="n">
        <v>688.8</v>
      </c>
      <c r="E25" s="1" t="n">
        <v>688.3</v>
      </c>
      <c r="F25" s="1" t="n">
        <v>688.8</v>
      </c>
      <c r="G25" s="1" t="n">
        <v>688.8</v>
      </c>
      <c r="H25" s="1" t="n">
        <v>688.8</v>
      </c>
      <c r="J25" s="2" t="s">
        <v>18</v>
      </c>
      <c r="K25" s="1" t="s">
        <v>19</v>
      </c>
      <c r="L25" s="1" t="s">
        <v>11</v>
      </c>
    </row>
    <row r="26" customFormat="false" ht="12.8" hidden="false" customHeight="false" outlineLevel="0" collapsed="false">
      <c r="A26" s="1" t="s">
        <v>20</v>
      </c>
      <c r="B26" s="1" t="n">
        <v>33.23</v>
      </c>
      <c r="C26" s="1" t="n">
        <v>66.56</v>
      </c>
      <c r="D26" s="1" t="n">
        <v>133.2</v>
      </c>
      <c r="E26" s="1" t="n">
        <v>168.6</v>
      </c>
      <c r="F26" s="1" t="n">
        <v>199.9</v>
      </c>
      <c r="G26" s="1" t="n">
        <v>266.5</v>
      </c>
      <c r="H26" s="1" t="n">
        <v>337.2</v>
      </c>
      <c r="J26" s="4" t="n">
        <v>0.486658</v>
      </c>
      <c r="K26" s="4" t="n">
        <v>0.001687</v>
      </c>
      <c r="L26" s="5" t="n">
        <f aca="false">K26/J26*100</f>
        <v>0.346650008835774</v>
      </c>
    </row>
    <row r="27" customFormat="false" ht="12.8" hidden="false" customHeight="false" outlineLevel="0" collapsed="false">
      <c r="A27" s="1" t="s">
        <v>21</v>
      </c>
      <c r="B27" s="1" t="n">
        <f aca="false">B26/B25</f>
        <v>0.0482433217189315</v>
      </c>
      <c r="C27" s="1" t="n">
        <f aca="false">C26/C25</f>
        <v>0.0966318234610918</v>
      </c>
      <c r="D27" s="1" t="n">
        <f aca="false">D26/D25</f>
        <v>0.193379790940767</v>
      </c>
      <c r="E27" s="1" t="n">
        <f aca="false">E26/E25</f>
        <v>0.244951329362197</v>
      </c>
      <c r="F27" s="1" t="n">
        <f aca="false">F26/F25</f>
        <v>0.290214866434379</v>
      </c>
      <c r="G27" s="1" t="n">
        <f aca="false">G26/G25</f>
        <v>0.386904761904762</v>
      </c>
      <c r="H27" s="1" t="n">
        <f aca="false">H26/H25</f>
        <v>0.489547038327526</v>
      </c>
    </row>
    <row r="28" customFormat="false" ht="12.8" hidden="false" customHeight="false" outlineLevel="0" collapsed="false">
      <c r="A28" s="1" t="s">
        <v>22</v>
      </c>
      <c r="B28" s="1" t="n">
        <f aca="false">B24/200</f>
        <v>0.05</v>
      </c>
      <c r="C28" s="1" t="n">
        <f aca="false">C24/200</f>
        <v>0.1</v>
      </c>
      <c r="D28" s="1" t="n">
        <f aca="false">D24/200</f>
        <v>0.2</v>
      </c>
      <c r="E28" s="1" t="n">
        <f aca="false">E24/200</f>
        <v>0.25</v>
      </c>
      <c r="F28" s="1" t="n">
        <f aca="false">F24/200</f>
        <v>0.3</v>
      </c>
      <c r="G28" s="1" t="n">
        <f aca="false">G24/200</f>
        <v>0.4</v>
      </c>
      <c r="H28" s="1" t="n">
        <f aca="false">H24/200</f>
        <v>0.5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1674</TotalTime>
  <Application>LibreOffice/25.8.0.4$Linux_X86_64 LibreOffice_project/580$Build-4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2025-09-15T15:40:29Z</dcterms:created>
  <dc:creator/>
  <dc:description/>
  <dc:language>ru-RU</dc:language>
  <cp:lastModifiedBy/>
  <dcterms:modified xsi:type="dcterms:W3CDTF">2025-09-17T17:36:49Z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