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<sst xmlns="http://schemas.openxmlformats.org/spreadsheetml/2006/main" count="126" uniqueCount="47">
  <si>
    <t xml:space="preserve">Параметры зонда</t>
  </si>
  <si>
    <t xml:space="preserve">U_заж, В</t>
  </si>
  <si>
    <t xml:space="preserve">d, м</t>
  </si>
  <si>
    <t xml:space="preserve">l, м</t>
  </si>
  <si>
    <t xml:space="preserve">ВАХ I_р(U_р)</t>
  </si>
  <si>
    <t xml:space="preserve">ВАХ зонда</t>
  </si>
  <si>
    <t xml:space="preserve">повышение I_р</t>
  </si>
  <si>
    <t xml:space="preserve">понижение I_р</t>
  </si>
  <si>
    <t xml:space="preserve">I_р = 5 мА</t>
  </si>
  <si>
    <t xml:space="preserve">I_р = 4 мА</t>
  </si>
  <si>
    <t xml:space="preserve">I_р = 3,02 мА</t>
  </si>
  <si>
    <t xml:space="preserve">I_р = 1,5 мА</t>
  </si>
  <si>
    <t xml:space="preserve">U_р, В</t>
  </si>
  <si>
    <t xml:space="preserve">I_р, мА</t>
  </si>
  <si>
    <t xml:space="preserve">← I_р, мкА</t>
  </si>
  <si>
    <t xml:space="preserve">+</t>
  </si>
  <si>
    <t xml:space="preserve">-</t>
  </si>
  <si>
    <t xml:space="preserve">U, В</t>
  </si>
  <si>
    <t xml:space="preserve">I, мА</t>
  </si>
  <si>
    <t xml:space="preserve">← I, мкА</t>
  </si>
  <si>
    <t xml:space="preserve">R_дифф, кОм</t>
  </si>
  <si>
    <t xml:space="preserve">\sigma_R_дифф, кОм</t>
  </si>
  <si>
    <t xml:space="preserve">\varepsilon_R_дифф, кОм</t>
  </si>
  <si>
    <t xml:space="preserve">сплайн</t>
  </si>
  <si>
    <t xml:space="preserve">конеч приращ</t>
  </si>
  <si>
    <t xml:space="preserve">среднее</t>
  </si>
  <si>
    <t xml:space="preserve">I_iн, мА</t>
  </si>
  <si>
    <t xml:space="preserve">\sigma_I_iн, мА</t>
  </si>
  <si>
    <t xml:space="preserve">\varepsilon_I_iн, мА</t>
  </si>
  <si>
    <t xml:space="preserve">dI/dU, мА/В</t>
  </si>
  <si>
    <t xml:space="preserve">\sigma_dI/dU, мА/В</t>
  </si>
  <si>
    <t xml:space="preserve">\varepsilon_dI/dU, мА/В</t>
  </si>
  <si>
    <t xml:space="preserve">T_e, К</t>
  </si>
  <si>
    <t xml:space="preserve">\sigma_T_e, К</t>
  </si>
  <si>
    <t xml:space="preserve">n_i, см^-3</t>
  </si>
  <si>
    <t xml:space="preserve">r_De, см</t>
  </si>
  <si>
    <t xml:space="preserve">r_D, см</t>
  </si>
  <si>
    <t xml:space="preserve">N_D</t>
  </si>
  <si>
    <t xml:space="preserve">k_Б</t>
  </si>
  <si>
    <t xml:space="preserve">e, Кл</t>
  </si>
  <si>
    <t xml:space="preserve">P, Па</t>
  </si>
  <si>
    <t xml:space="preserve">T_i, К</t>
  </si>
  <si>
    <t xml:space="preserve">n_0</t>
  </si>
  <si>
    <t xml:space="preserve">\alpha</t>
  </si>
  <si>
    <t xml:space="preserve">масса Неона</t>
  </si>
  <si>
    <t xml:space="preserve">m_e, г</t>
  </si>
  <si>
    <t xml:space="preserve">\omega_p, рад/с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</si>
</sst>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78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12" activeCellId="0" sqref="F1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D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  <c r="D2" s="1" t="n">
        <v>1940</v>
      </c>
    </row>
    <row r="3" customFormat="false" ht="12.8" hidden="false" customHeight="false" outlineLevel="0" collapsed="false">
      <c r="A3" s="1" t="n">
        <v>0.0002</v>
      </c>
      <c r="B3" s="1" t="n">
        <v>0.0052</v>
      </c>
    </row>
    <row r="7" customFormat="false" ht="12.8" hidden="false" customHeight="false" outlineLevel="0" collapsed="false">
      <c r="A7" s="1" t="s">
        <v>4</v>
      </c>
      <c r="I7" s="1" t="s">
        <v>5</v>
      </c>
    </row>
    <row r="8" customFormat="false" ht="12.8" hidden="false" customHeight="false" outlineLevel="0" collapsed="false">
      <c r="A8" s="1" t="s">
        <v>6</v>
      </c>
      <c r="E8" s="1" t="s">
        <v>7</v>
      </c>
      <c r="I8" s="1" t="s">
        <v>8</v>
      </c>
      <c r="P8" s="1" t="s">
        <v>9</v>
      </c>
      <c r="W8" s="1" t="s">
        <v>10</v>
      </c>
      <c r="AD8" s="1" t="s">
        <v>11</v>
      </c>
    </row>
    <row r="9" customFormat="false" ht="12.8" hidden="false" customHeight="false" outlineLevel="0" collapsed="false">
      <c r="A9" s="1" t="s">
        <v>12</v>
      </c>
      <c r="B9" s="1" t="s">
        <v>13</v>
      </c>
      <c r="C9" s="1" t="s">
        <v>14</v>
      </c>
      <c r="E9" s="1" t="s">
        <v>12</v>
      </c>
      <c r="F9" s="1" t="s">
        <v>13</v>
      </c>
      <c r="I9" s="1" t="s">
        <v>15</v>
      </c>
      <c r="L9" s="1" t="s">
        <v>16</v>
      </c>
      <c r="P9" s="1" t="s">
        <v>16</v>
      </c>
      <c r="S9" s="1" t="s">
        <v>15</v>
      </c>
      <c r="W9" s="1" t="s">
        <v>15</v>
      </c>
      <c r="Z9" s="1" t="s">
        <v>16</v>
      </c>
      <c r="AD9" s="1" t="s">
        <v>16</v>
      </c>
      <c r="AG9" s="1" t="s">
        <v>15</v>
      </c>
    </row>
    <row r="10" customFormat="false" ht="12.8" hidden="false" customHeight="false" outlineLevel="0" collapsed="false">
      <c r="A10" s="1" t="n">
        <v>340.2</v>
      </c>
      <c r="B10" s="1" t="n">
        <f aca="false">C10/1000</f>
        <v>0.516</v>
      </c>
      <c r="C10" s="1" t="n">
        <v>516</v>
      </c>
      <c r="E10" s="1" t="n">
        <v>217</v>
      </c>
      <c r="F10" s="1" t="n">
        <v>4.969</v>
      </c>
      <c r="I10" s="1" t="s">
        <v>17</v>
      </c>
      <c r="J10" s="1" t="s">
        <v>18</v>
      </c>
      <c r="K10" s="1" t="s">
        <v>19</v>
      </c>
      <c r="L10" s="1" t="s">
        <v>17</v>
      </c>
      <c r="M10" s="1" t="s">
        <v>18</v>
      </c>
      <c r="N10" s="1" t="s">
        <v>19</v>
      </c>
      <c r="P10" s="1" t="s">
        <v>17</v>
      </c>
      <c r="Q10" s="1" t="s">
        <v>18</v>
      </c>
      <c r="R10" s="1" t="s">
        <v>19</v>
      </c>
      <c r="S10" s="1" t="s">
        <v>17</v>
      </c>
      <c r="T10" s="1" t="s">
        <v>18</v>
      </c>
      <c r="U10" s="1" t="s">
        <v>19</v>
      </c>
      <c r="W10" s="1" t="s">
        <v>17</v>
      </c>
      <c r="X10" s="1" t="s">
        <v>18</v>
      </c>
      <c r="Y10" s="1" t="s">
        <v>19</v>
      </c>
      <c r="Z10" s="1" t="s">
        <v>17</v>
      </c>
      <c r="AA10" s="1" t="s">
        <v>18</v>
      </c>
      <c r="AB10" s="1" t="s">
        <v>19</v>
      </c>
      <c r="AD10" s="1" t="s">
        <v>17</v>
      </c>
      <c r="AE10" s="1" t="s">
        <v>18</v>
      </c>
      <c r="AF10" s="1" t="s">
        <v>19</v>
      </c>
      <c r="AG10" s="1" t="s">
        <v>17</v>
      </c>
      <c r="AH10" s="1" t="s">
        <v>18</v>
      </c>
      <c r="AI10" s="1" t="s">
        <v>19</v>
      </c>
    </row>
    <row r="11" customFormat="false" ht="12.8" hidden="false" customHeight="false" outlineLevel="0" collapsed="false">
      <c r="A11" s="1" t="n">
        <v>337</v>
      </c>
      <c r="B11" s="1" t="n">
        <f aca="false">C11/1000</f>
        <v>0.598</v>
      </c>
      <c r="C11" s="1" t="n">
        <v>598</v>
      </c>
      <c r="E11" s="1" t="n">
        <v>221</v>
      </c>
      <c r="F11" s="1" t="n">
        <v>4.564</v>
      </c>
      <c r="I11" s="1" t="n">
        <v>25.2</v>
      </c>
      <c r="J11" s="1" t="n">
        <f aca="false">K11/1000</f>
        <v>0.085</v>
      </c>
      <c r="K11" s="1" t="n">
        <v>85</v>
      </c>
      <c r="L11" s="1" t="n">
        <v>0.73</v>
      </c>
      <c r="M11" s="1" t="n">
        <f aca="false">N11/1000</f>
        <v>0.012</v>
      </c>
      <c r="N11" s="1" t="n">
        <v>12</v>
      </c>
      <c r="P11" s="1" t="n">
        <v>25.2</v>
      </c>
      <c r="Q11" s="1" t="n">
        <f aca="false">R11/1000</f>
        <v>0.09</v>
      </c>
      <c r="R11" s="1" t="n">
        <v>90</v>
      </c>
      <c r="S11" s="1" t="n">
        <v>2.1</v>
      </c>
      <c r="T11" s="1" t="n">
        <f aca="false">U11/1000</f>
        <v>0.003</v>
      </c>
      <c r="U11" s="1" t="n">
        <v>3</v>
      </c>
      <c r="W11" s="1" t="n">
        <v>25.2</v>
      </c>
      <c r="X11" s="1" t="n">
        <f aca="false">Y11/1000</f>
        <v>0.054</v>
      </c>
      <c r="Y11" s="1" t="n">
        <v>54</v>
      </c>
      <c r="Z11" s="1" t="n">
        <v>0.48</v>
      </c>
      <c r="AA11" s="1" t="n">
        <f aca="false">AB11/1000</f>
        <v>0.011</v>
      </c>
      <c r="AB11" s="1" t="n">
        <v>11</v>
      </c>
      <c r="AD11" s="1" t="n">
        <v>25.2</v>
      </c>
      <c r="AE11" s="1" t="n">
        <f aca="false">AF11/1000</f>
        <v>0.036</v>
      </c>
      <c r="AF11" s="1" t="n">
        <v>36</v>
      </c>
      <c r="AG11" s="1" t="n">
        <v>0.8</v>
      </c>
      <c r="AH11" s="1" t="n">
        <f aca="false">AI11/1000</f>
        <v>-0.003</v>
      </c>
      <c r="AI11" s="1" t="n">
        <v>-3</v>
      </c>
    </row>
    <row r="12" customFormat="false" ht="12.8" hidden="false" customHeight="false" outlineLevel="0" collapsed="false">
      <c r="A12" s="1" t="n">
        <v>332.5</v>
      </c>
      <c r="B12" s="1" t="n">
        <f aca="false">C12/1000</f>
        <v>0.683</v>
      </c>
      <c r="C12" s="1" t="n">
        <v>683</v>
      </c>
      <c r="E12" s="1" t="n">
        <v>223.8</v>
      </c>
      <c r="F12" s="1" t="n">
        <v>4.168</v>
      </c>
      <c r="I12" s="1" t="n">
        <v>22.1</v>
      </c>
      <c r="J12" s="1" t="n">
        <f aca="false">K12/1000</f>
        <v>0.089</v>
      </c>
      <c r="K12" s="1" t="n">
        <v>89</v>
      </c>
      <c r="L12" s="1" t="n">
        <v>2.1</v>
      </c>
      <c r="M12" s="1" t="n">
        <f aca="false">N12/1000</f>
        <v>0.025</v>
      </c>
      <c r="N12" s="1" t="n">
        <v>25</v>
      </c>
      <c r="P12" s="1" t="n">
        <v>22</v>
      </c>
      <c r="Q12" s="1" t="n">
        <f aca="false">R12/1000</f>
        <v>0.09</v>
      </c>
      <c r="R12" s="1" t="n">
        <v>90</v>
      </c>
      <c r="S12" s="1" t="n">
        <v>4</v>
      </c>
      <c r="T12" s="1" t="n">
        <f aca="false">U12/1000</f>
        <v>0.017</v>
      </c>
      <c r="U12" s="1" t="n">
        <v>17</v>
      </c>
      <c r="W12" s="1" t="n">
        <v>22</v>
      </c>
      <c r="X12" s="1" t="n">
        <f aca="false">Y12/1000</f>
        <v>0.052</v>
      </c>
      <c r="Y12" s="1" t="n">
        <v>52</v>
      </c>
      <c r="Z12" s="1" t="n">
        <v>2</v>
      </c>
      <c r="AA12" s="1" t="n">
        <f aca="false">AB12/1000</f>
        <v>0.02</v>
      </c>
      <c r="AB12" s="1" t="n">
        <v>20</v>
      </c>
      <c r="AD12" s="1" t="n">
        <v>22</v>
      </c>
      <c r="AE12" s="1" t="n">
        <f aca="false">AF12/1000</f>
        <v>0.035</v>
      </c>
      <c r="AF12" s="1" t="n">
        <v>35</v>
      </c>
      <c r="AG12" s="1" t="n">
        <v>2</v>
      </c>
      <c r="AH12" s="1" t="n">
        <f aca="false">AI12/1000</f>
        <v>0.0008</v>
      </c>
      <c r="AI12" s="1" t="n">
        <v>0.8</v>
      </c>
    </row>
    <row r="13" customFormat="false" ht="12.8" hidden="false" customHeight="false" outlineLevel="0" collapsed="false">
      <c r="A13" s="1" t="n">
        <v>330</v>
      </c>
      <c r="B13" s="1" t="n">
        <f aca="false">C13/1000</f>
        <v>0.762</v>
      </c>
      <c r="C13" s="1" t="n">
        <v>762</v>
      </c>
      <c r="E13" s="1" t="n">
        <v>224.8</v>
      </c>
      <c r="F13" s="1" t="n">
        <v>3.781</v>
      </c>
      <c r="I13" s="1" t="n">
        <v>19</v>
      </c>
      <c r="J13" s="1" t="n">
        <f aca="false">K13/1000</f>
        <v>0.087</v>
      </c>
      <c r="K13" s="1" t="n">
        <v>87</v>
      </c>
      <c r="L13" s="1" t="n">
        <v>4.2</v>
      </c>
      <c r="M13" s="1" t="n">
        <f aca="false">N13/1000</f>
        <v>0.043</v>
      </c>
      <c r="N13" s="1" t="n">
        <v>43</v>
      </c>
      <c r="P13" s="1" t="n">
        <v>19.1</v>
      </c>
      <c r="Q13" s="1" t="n">
        <f aca="false">R13/1000</f>
        <v>0.088</v>
      </c>
      <c r="R13" s="1" t="n">
        <v>88</v>
      </c>
      <c r="S13" s="1" t="n">
        <v>6</v>
      </c>
      <c r="T13" s="1" t="n">
        <f aca="false">U13/1000</f>
        <v>0.03</v>
      </c>
      <c r="U13" s="1" t="n">
        <v>30</v>
      </c>
      <c r="W13" s="1" t="n">
        <v>19</v>
      </c>
      <c r="X13" s="1" t="n">
        <f aca="false">Y13/1000</f>
        <v>0.05</v>
      </c>
      <c r="Y13" s="1" t="n">
        <v>50</v>
      </c>
      <c r="Z13" s="1" t="n">
        <v>4.1</v>
      </c>
      <c r="AA13" s="1" t="n">
        <f aca="false">AB13/1000</f>
        <v>0.032</v>
      </c>
      <c r="AB13" s="1" t="n">
        <v>32</v>
      </c>
      <c r="AD13" s="1" t="n">
        <v>19.1</v>
      </c>
      <c r="AE13" s="1" t="n">
        <f aca="false">AF13/1000</f>
        <v>0.033</v>
      </c>
      <c r="AF13" s="1" t="n">
        <v>33</v>
      </c>
      <c r="AG13" s="1" t="n">
        <v>4.1</v>
      </c>
      <c r="AH13" s="1" t="n">
        <f aca="false">AI13/1000</f>
        <v>0.007</v>
      </c>
      <c r="AI13" s="1" t="n">
        <v>7</v>
      </c>
    </row>
    <row r="14" customFormat="false" ht="12.8" hidden="false" customHeight="false" outlineLevel="0" collapsed="false">
      <c r="A14" s="1" t="n">
        <v>327.8</v>
      </c>
      <c r="B14" s="1" t="n">
        <f aca="false">C14/1000</f>
        <v>0.821</v>
      </c>
      <c r="C14" s="1" t="n">
        <v>821</v>
      </c>
      <c r="E14" s="1" t="n">
        <v>230.7</v>
      </c>
      <c r="F14" s="1" t="n">
        <v>3.396</v>
      </c>
      <c r="I14" s="1" t="n">
        <v>16.1</v>
      </c>
      <c r="J14" s="1" t="n">
        <f aca="false">K14/1000</f>
        <v>0.084</v>
      </c>
      <c r="K14" s="1" t="n">
        <v>84</v>
      </c>
      <c r="L14" s="1" t="n">
        <v>6</v>
      </c>
      <c r="M14" s="1" t="n">
        <f aca="false">N14/1000</f>
        <v>0.059</v>
      </c>
      <c r="N14" s="1" t="n">
        <v>59</v>
      </c>
      <c r="P14" s="1" t="n">
        <v>16</v>
      </c>
      <c r="Q14" s="1" t="n">
        <f aca="false">R14/1000</f>
        <v>0.084</v>
      </c>
      <c r="R14" s="1" t="n">
        <v>84</v>
      </c>
      <c r="S14" s="1" t="n">
        <v>8</v>
      </c>
      <c r="T14" s="1" t="n">
        <f aca="false">U14/1000</f>
        <v>0.043</v>
      </c>
      <c r="U14" s="1" t="n">
        <v>43</v>
      </c>
      <c r="W14" s="1" t="n">
        <v>16</v>
      </c>
      <c r="X14" s="1" t="n">
        <f aca="false">Y14/1000</f>
        <v>0.048</v>
      </c>
      <c r="Y14" s="1" t="n">
        <v>48</v>
      </c>
      <c r="Z14" s="1" t="n">
        <v>6.1</v>
      </c>
      <c r="AA14" s="1" t="n">
        <f aca="false">AB14/1000</f>
        <v>0.042</v>
      </c>
      <c r="AB14" s="1" t="n">
        <v>42</v>
      </c>
      <c r="AD14" s="1" t="n">
        <v>16.1</v>
      </c>
      <c r="AE14" s="1" t="n">
        <f aca="false">AF14/1000</f>
        <v>0.032</v>
      </c>
      <c r="AF14" s="1" t="n">
        <v>32</v>
      </c>
      <c r="AG14" s="1" t="n">
        <v>6.1</v>
      </c>
      <c r="AH14" s="1" t="n">
        <f aca="false">AI14/1000</f>
        <v>0.012</v>
      </c>
      <c r="AI14" s="1" t="n">
        <v>12</v>
      </c>
    </row>
    <row r="15" customFormat="false" ht="12.8" hidden="false" customHeight="false" outlineLevel="0" collapsed="false">
      <c r="A15" s="1" t="n">
        <v>324.8</v>
      </c>
      <c r="B15" s="1" t="n">
        <f aca="false">C15/1000</f>
        <v>0.916</v>
      </c>
      <c r="C15" s="1" t="n">
        <v>916</v>
      </c>
      <c r="E15" s="1" t="n">
        <v>247</v>
      </c>
      <c r="F15" s="1" t="n">
        <v>2.991</v>
      </c>
      <c r="I15" s="1" t="n">
        <v>13.1</v>
      </c>
      <c r="J15" s="1" t="n">
        <f aca="false">K15/1000</f>
        <v>0.077</v>
      </c>
      <c r="K15" s="1" t="n">
        <v>77</v>
      </c>
      <c r="L15" s="1" t="n">
        <v>8.1</v>
      </c>
      <c r="M15" s="1" t="n">
        <f aca="false">N15/1000</f>
        <v>0.072</v>
      </c>
      <c r="N15" s="1" t="n">
        <v>72</v>
      </c>
      <c r="P15" s="1" t="n">
        <v>13</v>
      </c>
      <c r="Q15" s="1" t="n">
        <f aca="false">R15/1000</f>
        <v>0.079</v>
      </c>
      <c r="R15" s="1" t="n">
        <v>79</v>
      </c>
      <c r="S15" s="1" t="n">
        <v>10</v>
      </c>
      <c r="T15" s="1" t="n">
        <f aca="false">U15/1000</f>
        <v>0.052</v>
      </c>
      <c r="U15" s="1" t="n">
        <v>52</v>
      </c>
      <c r="W15" s="1" t="n">
        <v>13.1</v>
      </c>
      <c r="X15" s="1" t="n">
        <f aca="false">Y15/1000</f>
        <v>0.045</v>
      </c>
      <c r="Y15" s="1" t="n">
        <v>45</v>
      </c>
      <c r="Z15" s="1" t="n">
        <v>8.1</v>
      </c>
      <c r="AA15" s="1" t="n">
        <f aca="false">AB15/1000</f>
        <v>0.049</v>
      </c>
      <c r="AB15" s="1" t="n">
        <v>49</v>
      </c>
      <c r="AD15" s="1" t="n">
        <v>13</v>
      </c>
      <c r="AE15" s="1" t="n">
        <f aca="false">AF15/1000</f>
        <v>0.031</v>
      </c>
      <c r="AF15" s="1" t="n">
        <v>31</v>
      </c>
      <c r="AG15" s="1" t="n">
        <v>8.1</v>
      </c>
      <c r="AH15" s="1" t="n">
        <f aca="false">AI15/1000</f>
        <v>0.016</v>
      </c>
      <c r="AI15" s="1" t="n">
        <v>16</v>
      </c>
    </row>
    <row r="16" customFormat="false" ht="12.8" hidden="false" customHeight="false" outlineLevel="0" collapsed="false">
      <c r="A16" s="1" t="n">
        <v>321</v>
      </c>
      <c r="B16" s="1" t="n">
        <f aca="false">C16/1000</f>
        <v>1.065</v>
      </c>
      <c r="C16" s="1" t="n">
        <v>1065</v>
      </c>
      <c r="E16" s="1" t="n">
        <v>274.6</v>
      </c>
      <c r="F16" s="1" t="n">
        <v>2.371</v>
      </c>
      <c r="I16" s="1" t="n">
        <v>10.1</v>
      </c>
      <c r="J16" s="1" t="n">
        <f aca="false">K16/1000</f>
        <v>0.064</v>
      </c>
      <c r="K16" s="1" t="n">
        <v>64</v>
      </c>
      <c r="L16" s="1" t="n">
        <v>10</v>
      </c>
      <c r="M16" s="1" t="n">
        <f aca="false">N16/1000</f>
        <v>0.083</v>
      </c>
      <c r="N16" s="1" t="n">
        <v>83</v>
      </c>
      <c r="P16" s="1" t="n">
        <v>10</v>
      </c>
      <c r="Q16" s="1" t="n">
        <f aca="false">R16/1000</f>
        <v>0.07</v>
      </c>
      <c r="R16" s="1" t="n">
        <v>70</v>
      </c>
      <c r="S16" s="1" t="n">
        <v>13</v>
      </c>
      <c r="T16" s="1" t="n">
        <f aca="false">U16/1000</f>
        <v>0.06</v>
      </c>
      <c r="U16" s="1" t="n">
        <v>60</v>
      </c>
      <c r="W16" s="1" t="n">
        <v>10.1</v>
      </c>
      <c r="X16" s="1" t="n">
        <f aca="false">Y16/1000</f>
        <v>0.039</v>
      </c>
      <c r="Y16" s="1" t="n">
        <v>39</v>
      </c>
      <c r="Z16" s="1" t="n">
        <v>10</v>
      </c>
      <c r="AA16" s="1" t="n">
        <f aca="false">AB16/1000</f>
        <v>0.055</v>
      </c>
      <c r="AB16" s="1" t="n">
        <v>55</v>
      </c>
      <c r="AD16" s="1" t="n">
        <v>10.2</v>
      </c>
      <c r="AE16" s="1" t="n">
        <f aca="false">AF16/1000</f>
        <v>0.028</v>
      </c>
      <c r="AF16" s="1" t="n">
        <v>28</v>
      </c>
      <c r="AG16" s="1" t="n">
        <v>10.2</v>
      </c>
      <c r="AH16" s="1" t="n">
        <f aca="false">AI16/1000</f>
        <v>0.019</v>
      </c>
      <c r="AI16" s="1" t="n">
        <v>19</v>
      </c>
    </row>
    <row r="17" customFormat="false" ht="12.8" hidden="false" customHeight="false" outlineLevel="0" collapsed="false">
      <c r="A17" s="1" t="n">
        <v>318</v>
      </c>
      <c r="B17" s="1" t="n">
        <f aca="false">C17/1000</f>
        <v>1.215</v>
      </c>
      <c r="C17" s="1" t="n">
        <v>1215</v>
      </c>
      <c r="E17" s="1" t="n">
        <v>306.8</v>
      </c>
      <c r="F17" s="1" t="n">
        <v>1.805</v>
      </c>
      <c r="I17" s="1" t="n">
        <v>8</v>
      </c>
      <c r="J17" s="1" t="n">
        <f aca="false">K17/1000</f>
        <v>0.052</v>
      </c>
      <c r="K17" s="1" t="n">
        <v>52</v>
      </c>
      <c r="L17" s="1" t="n">
        <v>13</v>
      </c>
      <c r="M17" s="1" t="n">
        <f aca="false">N17/1000</f>
        <v>0.096</v>
      </c>
      <c r="N17" s="1" t="n">
        <v>96</v>
      </c>
      <c r="P17" s="1" t="n">
        <v>8</v>
      </c>
      <c r="Q17" s="1" t="n">
        <f aca="false">R17/1000</f>
        <v>0.062</v>
      </c>
      <c r="R17" s="1" t="n">
        <v>62</v>
      </c>
      <c r="S17" s="1" t="n">
        <v>16</v>
      </c>
      <c r="T17" s="1" t="n">
        <f aca="false">U17/1000</f>
        <v>0.067</v>
      </c>
      <c r="U17" s="1" t="n">
        <v>67</v>
      </c>
      <c r="W17" s="1" t="n">
        <v>8</v>
      </c>
      <c r="X17" s="1" t="n">
        <f aca="false">Y17/1000</f>
        <v>0.032</v>
      </c>
      <c r="Y17" s="1" t="n">
        <v>32</v>
      </c>
      <c r="Z17" s="1" t="n">
        <v>13</v>
      </c>
      <c r="AA17" s="1" t="n">
        <f aca="false">AB17/1000</f>
        <v>0.06</v>
      </c>
      <c r="AB17" s="1" t="n">
        <v>60</v>
      </c>
      <c r="AD17" s="1" t="n">
        <v>8</v>
      </c>
      <c r="AE17" s="1" t="n">
        <f aca="false">AF17/1000</f>
        <v>0.026</v>
      </c>
      <c r="AF17" s="1" t="n">
        <v>26</v>
      </c>
      <c r="AG17" s="1" t="n">
        <v>13.1</v>
      </c>
      <c r="AH17" s="1" t="n">
        <f aca="false">AI17/1000</f>
        <v>0.021</v>
      </c>
      <c r="AI17" s="1" t="n">
        <v>21</v>
      </c>
    </row>
    <row r="18" customFormat="false" ht="12.8" hidden="false" customHeight="false" outlineLevel="0" collapsed="false">
      <c r="A18" s="1" t="n">
        <v>316.1</v>
      </c>
      <c r="B18" s="1" t="n">
        <f aca="false">C18/1000</f>
        <v>1.325</v>
      </c>
      <c r="C18" s="1" t="n">
        <v>1325</v>
      </c>
      <c r="E18" s="1" t="n">
        <v>313</v>
      </c>
      <c r="F18" s="1" t="n">
        <v>1.502</v>
      </c>
      <c r="I18" s="1" t="n">
        <v>6.1</v>
      </c>
      <c r="J18" s="1" t="n">
        <f aca="false">K18/1000</f>
        <v>0.038</v>
      </c>
      <c r="K18" s="1" t="n">
        <v>38</v>
      </c>
      <c r="L18" s="1" t="n">
        <v>16.1</v>
      </c>
      <c r="M18" s="1" t="n">
        <f aca="false">N18/1000</f>
        <v>0.102</v>
      </c>
      <c r="N18" s="1" t="n">
        <v>102</v>
      </c>
      <c r="P18" s="1" t="n">
        <v>6</v>
      </c>
      <c r="Q18" s="1" t="n">
        <f aca="false">R18/1000</f>
        <v>0.051</v>
      </c>
      <c r="R18" s="1" t="n">
        <v>51</v>
      </c>
      <c r="S18" s="1" t="n">
        <v>19</v>
      </c>
      <c r="T18" s="1" t="n">
        <f aca="false">U18/1000</f>
        <v>0.07</v>
      </c>
      <c r="U18" s="1" t="n">
        <v>70</v>
      </c>
      <c r="W18" s="1" t="n">
        <v>6</v>
      </c>
      <c r="X18" s="1" t="n">
        <f aca="false">Y18/1000</f>
        <v>0.024</v>
      </c>
      <c r="Y18" s="1" t="n">
        <v>24</v>
      </c>
      <c r="Z18" s="1" t="n">
        <v>16</v>
      </c>
      <c r="AA18" s="1" t="n">
        <f aca="false">AB18/1000</f>
        <v>0.063</v>
      </c>
      <c r="AB18" s="1" t="n">
        <v>63</v>
      </c>
      <c r="AD18" s="1" t="n">
        <v>6.1</v>
      </c>
      <c r="AE18" s="1" t="n">
        <f aca="false">AF18/1000</f>
        <v>0.023</v>
      </c>
      <c r="AF18" s="1" t="n">
        <v>23</v>
      </c>
      <c r="AG18" s="1" t="n">
        <v>16.1</v>
      </c>
      <c r="AH18" s="1" t="n">
        <f aca="false">AI18/1000</f>
        <v>0.022</v>
      </c>
      <c r="AI18" s="1" t="n">
        <v>22</v>
      </c>
    </row>
    <row r="19" customFormat="false" ht="12.8" hidden="false" customHeight="false" outlineLevel="0" collapsed="false">
      <c r="A19" s="1" t="n">
        <v>314</v>
      </c>
      <c r="B19" s="1" t="n">
        <f aca="false">C19/1000</f>
        <v>1.472</v>
      </c>
      <c r="C19" s="1" t="n">
        <v>1472</v>
      </c>
      <c r="E19" s="1" t="n">
        <v>319</v>
      </c>
      <c r="F19" s="1" t="n">
        <v>1.129</v>
      </c>
      <c r="I19" s="1" t="n">
        <v>4</v>
      </c>
      <c r="J19" s="1" t="n">
        <f aca="false">K19/1000</f>
        <v>0.021</v>
      </c>
      <c r="K19" s="1" t="n">
        <v>21</v>
      </c>
      <c r="L19" s="1" t="n">
        <v>18</v>
      </c>
      <c r="M19" s="1" t="n">
        <f aca="false">N19/1000</f>
        <v>0.104</v>
      </c>
      <c r="N19" s="1" t="n">
        <v>104</v>
      </c>
      <c r="P19" s="1" t="n">
        <v>4</v>
      </c>
      <c r="Q19" s="1" t="n">
        <f aca="false">R19/1000</f>
        <v>0.038</v>
      </c>
      <c r="R19" s="1" t="n">
        <v>38</v>
      </c>
      <c r="S19" s="1" t="n">
        <v>22</v>
      </c>
      <c r="T19" s="1" t="n">
        <f aca="false">U19/1000</f>
        <v>0.073</v>
      </c>
      <c r="U19" s="1" t="n">
        <v>73</v>
      </c>
      <c r="W19" s="1" t="n">
        <v>4</v>
      </c>
      <c r="X19" s="1" t="n">
        <f aca="false">Y19/1000</f>
        <v>0.014</v>
      </c>
      <c r="Y19" s="1" t="n">
        <v>14</v>
      </c>
      <c r="Z19" s="1" t="n">
        <v>19</v>
      </c>
      <c r="AA19" s="1" t="n">
        <f aca="false">AB19/1000</f>
        <v>0.065</v>
      </c>
      <c r="AB19" s="1" t="n">
        <v>65</v>
      </c>
      <c r="AD19" s="1" t="n">
        <v>4</v>
      </c>
      <c r="AE19" s="1" t="n">
        <f aca="false">AF19/1000</f>
        <v>0.018</v>
      </c>
      <c r="AF19" s="1" t="n">
        <v>18</v>
      </c>
      <c r="AG19" s="1" t="n">
        <v>19.1</v>
      </c>
      <c r="AH19" s="1" t="n">
        <f aca="false">AI19/1000</f>
        <v>0.023</v>
      </c>
      <c r="AI19" s="1" t="n">
        <v>23</v>
      </c>
    </row>
    <row r="20" customFormat="false" ht="12.8" hidden="false" customHeight="false" outlineLevel="0" collapsed="false">
      <c r="A20" s="1" t="n">
        <v>299</v>
      </c>
      <c r="B20" s="1" t="n">
        <f aca="false">C20/1000</f>
        <v>1.972</v>
      </c>
      <c r="C20" s="1" t="n">
        <v>1972</v>
      </c>
      <c r="E20" s="1" t="n">
        <v>336.7</v>
      </c>
      <c r="F20" s="1" t="n">
        <v>0.599</v>
      </c>
      <c r="I20" s="1" t="n">
        <v>2</v>
      </c>
      <c r="J20" s="1" t="n">
        <f aca="false">K20/1000</f>
        <v>0.002</v>
      </c>
      <c r="K20" s="1" t="n">
        <v>2</v>
      </c>
      <c r="L20" s="1" t="n">
        <v>21</v>
      </c>
      <c r="M20" s="1" t="n">
        <f aca="false">N20/1000</f>
        <v>0.106</v>
      </c>
      <c r="N20" s="1" t="n">
        <v>106</v>
      </c>
      <c r="P20" s="1" t="n">
        <v>2</v>
      </c>
      <c r="Q20" s="1" t="n">
        <f aca="false">R20/1000</f>
        <v>0.023</v>
      </c>
      <c r="R20" s="1" t="n">
        <v>23</v>
      </c>
      <c r="S20" s="1" t="n">
        <v>25.1</v>
      </c>
      <c r="T20" s="1" t="n">
        <f aca="false">U20/1000</f>
        <v>0.073</v>
      </c>
      <c r="U20" s="1" t="n">
        <v>73</v>
      </c>
      <c r="W20" s="1" t="n">
        <v>2</v>
      </c>
      <c r="X20" s="1" t="n">
        <f aca="false">Y20/1000</f>
        <v>0.002</v>
      </c>
      <c r="Y20" s="1" t="n">
        <v>2</v>
      </c>
      <c r="Z20" s="1" t="n">
        <v>22.1</v>
      </c>
      <c r="AA20" s="1" t="n">
        <f aca="false">AB20/1000</f>
        <v>0.067</v>
      </c>
      <c r="AB20" s="1" t="n">
        <v>67</v>
      </c>
      <c r="AD20" s="1" t="n">
        <v>2</v>
      </c>
      <c r="AE20" s="1" t="n">
        <f aca="false">AF20/1000</f>
        <v>0.012</v>
      </c>
      <c r="AF20" s="1" t="n">
        <v>12</v>
      </c>
      <c r="AG20" s="1" t="n">
        <v>22.1</v>
      </c>
      <c r="AH20" s="1" t="n">
        <f aca="false">AI20/1000</f>
        <v>0.024</v>
      </c>
      <c r="AI20" s="1" t="n">
        <v>24</v>
      </c>
    </row>
    <row r="21" customFormat="false" ht="12.8" hidden="false" customHeight="false" outlineLevel="0" collapsed="false">
      <c r="A21" s="1" t="n">
        <v>270</v>
      </c>
      <c r="B21" s="1" t="n">
        <f aca="false">C21/1000</f>
        <v>2.498</v>
      </c>
      <c r="C21" s="1" t="n">
        <v>2498</v>
      </c>
      <c r="E21" s="1" t="n">
        <v>341</v>
      </c>
      <c r="F21" s="1" t="n">
        <v>0.531</v>
      </c>
      <c r="I21" s="1" t="n">
        <v>0.81</v>
      </c>
      <c r="J21" s="1" t="n">
        <f aca="false">K21/1000</f>
        <v>-0.01</v>
      </c>
      <c r="K21" s="1" t="n">
        <v>-10</v>
      </c>
      <c r="L21" s="1" t="n">
        <v>23.1</v>
      </c>
      <c r="M21" s="1" t="n">
        <f aca="false">N21/1000</f>
        <v>0.106</v>
      </c>
      <c r="N21" s="1" t="n">
        <v>106</v>
      </c>
      <c r="P21" s="1" t="n">
        <v>0.7</v>
      </c>
      <c r="Q21" s="1" t="n">
        <f aca="false">R21/1000</f>
        <v>0.011</v>
      </c>
      <c r="R21" s="1" t="n">
        <v>11</v>
      </c>
      <c r="W21" s="1" t="n">
        <v>0.64</v>
      </c>
      <c r="X21" s="1" t="n">
        <f aca="false">Y21/1000</f>
        <v>-0.007</v>
      </c>
      <c r="Y21" s="1" t="n">
        <v>-7</v>
      </c>
      <c r="Z21" s="1" t="n">
        <v>25.2</v>
      </c>
      <c r="AA21" s="1" t="n">
        <f aca="false">AB21/1000</f>
        <v>0.069</v>
      </c>
      <c r="AB21" s="1" t="n">
        <v>69</v>
      </c>
      <c r="AD21" s="1" t="n">
        <v>0.8</v>
      </c>
      <c r="AE21" s="1" t="n">
        <f aca="false">AF21/1000</f>
        <v>0.007</v>
      </c>
      <c r="AF21" s="1" t="n">
        <v>7</v>
      </c>
      <c r="AG21" s="1" t="n">
        <v>25.1</v>
      </c>
      <c r="AH21" s="1" t="n">
        <f aca="false">AI21/1000</f>
        <v>0.025</v>
      </c>
      <c r="AI21" s="1" t="n">
        <v>25</v>
      </c>
    </row>
    <row r="22" customFormat="false" ht="12.8" hidden="false" customHeight="false" outlineLevel="0" collapsed="false">
      <c r="A22" s="1" t="n">
        <v>247</v>
      </c>
      <c r="B22" s="1" t="n">
        <f aca="false">C22/1000</f>
        <v>3.014</v>
      </c>
      <c r="C22" s="1" t="n">
        <v>3014</v>
      </c>
      <c r="E22" s="1" t="n">
        <v>254</v>
      </c>
      <c r="F22" s="1" t="n">
        <v>2.822</v>
      </c>
    </row>
    <row r="23" customFormat="false" ht="12.8" hidden="false" customHeight="false" outlineLevel="0" collapsed="false">
      <c r="A23" s="1" t="n">
        <v>230</v>
      </c>
      <c r="B23" s="1" t="n">
        <f aca="false">C23/1000</f>
        <v>3.55</v>
      </c>
      <c r="C23" s="1" t="n">
        <v>3550</v>
      </c>
      <c r="E23" s="1" t="n">
        <v>263</v>
      </c>
      <c r="F23" s="1" t="n">
        <v>2.637</v>
      </c>
    </row>
    <row r="24" customFormat="false" ht="12.8" hidden="false" customHeight="false" outlineLevel="0" collapsed="false">
      <c r="A24" s="1" t="n">
        <v>225</v>
      </c>
      <c r="B24" s="1" t="n">
        <f aca="false">C24/1000</f>
        <v>4.252</v>
      </c>
      <c r="C24" s="1" t="n">
        <v>4252</v>
      </c>
      <c r="E24" s="1" t="n">
        <v>280</v>
      </c>
      <c r="F24" s="1" t="n">
        <v>2.232</v>
      </c>
    </row>
    <row r="25" customFormat="false" ht="12.8" hidden="false" customHeight="false" outlineLevel="0" collapsed="false">
      <c r="A25" s="1" t="n">
        <v>217</v>
      </c>
      <c r="B25" s="1" t="n">
        <f aca="false">C25/1000</f>
        <v>5.017</v>
      </c>
      <c r="C25" s="1" t="n">
        <v>5017</v>
      </c>
      <c r="E25" s="1" t="n">
        <v>286</v>
      </c>
      <c r="F25" s="1" t="n">
        <v>2.121</v>
      </c>
    </row>
    <row r="26" customFormat="false" ht="12.8" hidden="false" customHeight="false" outlineLevel="0" collapsed="false">
      <c r="A26" s="1" t="n">
        <v>308</v>
      </c>
      <c r="B26" s="1" t="n">
        <f aca="false">C26/1000</f>
        <v>1.784</v>
      </c>
      <c r="C26" s="1" t="n">
        <v>1784</v>
      </c>
      <c r="E26" s="1" t="n">
        <v>295</v>
      </c>
      <c r="F26" s="1" t="n">
        <v>1.993</v>
      </c>
      <c r="I26" s="1" t="str">
        <f aca="false">I10</f>
        <v>U, В</v>
      </c>
      <c r="J26" s="1" t="str">
        <f aca="false">J10</f>
        <v>I, мА</v>
      </c>
      <c r="P26" s="1" t="str">
        <f aca="false">P10</f>
        <v>U, В</v>
      </c>
      <c r="Q26" s="1" t="str">
        <f aca="false">Q10</f>
        <v>I, мА</v>
      </c>
      <c r="W26" s="1" t="str">
        <f aca="false">W10</f>
        <v>U, В</v>
      </c>
      <c r="X26" s="1" t="str">
        <f aca="false">X10</f>
        <v>I, мА</v>
      </c>
      <c r="AD26" s="1" t="str">
        <f aca="false">AD10</f>
        <v>U, В</v>
      </c>
      <c r="AE26" s="1" t="str">
        <f aca="false">AE10</f>
        <v>I, мА</v>
      </c>
    </row>
    <row r="27" customFormat="false" ht="12.8" hidden="false" customHeight="false" outlineLevel="0" collapsed="false">
      <c r="A27" s="1" t="n">
        <v>280</v>
      </c>
      <c r="B27" s="1" t="n">
        <f aca="false">C27/1000</f>
        <v>2.202</v>
      </c>
      <c r="C27" s="1" t="n">
        <v>2202</v>
      </c>
      <c r="E27" s="1" t="n">
        <v>328</v>
      </c>
      <c r="F27" s="1" t="n">
        <v>0.802</v>
      </c>
      <c r="I27" s="1" t="n">
        <f aca="false">I11</f>
        <v>25.2</v>
      </c>
      <c r="J27" s="1" t="n">
        <f aca="false">J11</f>
        <v>0.085</v>
      </c>
      <c r="P27" s="1" t="n">
        <f aca="false">P11</f>
        <v>25.2</v>
      </c>
      <c r="Q27" s="1" t="n">
        <f aca="false">Q11</f>
        <v>0.09</v>
      </c>
      <c r="W27" s="1" t="n">
        <f aca="false">W11</f>
        <v>25.2</v>
      </c>
      <c r="X27" s="1" t="n">
        <f aca="false">X11</f>
        <v>0.054</v>
      </c>
      <c r="AD27" s="1" t="n">
        <f aca="false">AD11</f>
        <v>25.2</v>
      </c>
      <c r="AE27" s="1" t="n">
        <f aca="false">AE11</f>
        <v>0.036</v>
      </c>
    </row>
    <row r="28" customFormat="false" ht="12.8" hidden="false" customHeight="false" outlineLevel="0" collapsed="false">
      <c r="A28" s="1" t="n">
        <v>287</v>
      </c>
      <c r="B28" s="1" t="n">
        <f aca="false">C28/1000</f>
        <v>2.106</v>
      </c>
      <c r="C28" s="1" t="n">
        <v>2106</v>
      </c>
      <c r="I28" s="1" t="n">
        <f aca="false">I12</f>
        <v>22.1</v>
      </c>
      <c r="J28" s="1" t="n">
        <f aca="false">J12</f>
        <v>0.089</v>
      </c>
      <c r="P28" s="1" t="n">
        <f aca="false">P12</f>
        <v>22</v>
      </c>
      <c r="Q28" s="1" t="n">
        <f aca="false">Q12</f>
        <v>0.09</v>
      </c>
      <c r="W28" s="1" t="n">
        <f aca="false">W12</f>
        <v>22</v>
      </c>
      <c r="X28" s="1" t="n">
        <f aca="false">X12</f>
        <v>0.052</v>
      </c>
      <c r="AD28" s="1" t="n">
        <f aca="false">AD12</f>
        <v>22</v>
      </c>
      <c r="AE28" s="1" t="n">
        <f aca="false">AE12</f>
        <v>0.035</v>
      </c>
    </row>
    <row r="29" customFormat="false" ht="12.8" hidden="false" customHeight="false" outlineLevel="0" collapsed="false">
      <c r="A29" s="1" t="n">
        <v>238</v>
      </c>
      <c r="B29" s="1" t="n">
        <f aca="false">C29/1000</f>
        <v>3.197</v>
      </c>
      <c r="C29" s="1" t="n">
        <v>3197</v>
      </c>
      <c r="I29" s="1" t="n">
        <f aca="false">I13</f>
        <v>19</v>
      </c>
      <c r="J29" s="1" t="n">
        <f aca="false">J13</f>
        <v>0.087</v>
      </c>
      <c r="P29" s="1" t="n">
        <f aca="false">P13</f>
        <v>19.1</v>
      </c>
      <c r="Q29" s="1" t="n">
        <f aca="false">Q13</f>
        <v>0.088</v>
      </c>
      <c r="W29" s="1" t="n">
        <f aca="false">W13</f>
        <v>19</v>
      </c>
      <c r="X29" s="1" t="n">
        <f aca="false">X13</f>
        <v>0.05</v>
      </c>
      <c r="AD29" s="1" t="n">
        <f aca="false">AD13</f>
        <v>19.1</v>
      </c>
      <c r="AE29" s="1" t="n">
        <f aca="false">AE13</f>
        <v>0.033</v>
      </c>
    </row>
    <row r="30" customFormat="false" ht="12.65" hidden="false" customHeight="true" outlineLevel="0" collapsed="false">
      <c r="A30" s="1" t="n">
        <v>264</v>
      </c>
      <c r="B30" s="1" t="n">
        <f aca="false">C30/1000</f>
        <v>2.604</v>
      </c>
      <c r="C30" s="1" t="n">
        <v>2604</v>
      </c>
      <c r="I30" s="1" t="n">
        <f aca="false">I14</f>
        <v>16.1</v>
      </c>
      <c r="J30" s="1" t="n">
        <f aca="false">J14</f>
        <v>0.084</v>
      </c>
      <c r="P30" s="1" t="n">
        <f aca="false">P14</f>
        <v>16</v>
      </c>
      <c r="Q30" s="1" t="n">
        <f aca="false">Q14</f>
        <v>0.084</v>
      </c>
      <c r="W30" s="1" t="n">
        <f aca="false">W14</f>
        <v>16</v>
      </c>
      <c r="X30" s="1" t="n">
        <f aca="false">X14</f>
        <v>0.048</v>
      </c>
      <c r="AD30" s="1" t="n">
        <f aca="false">AD14</f>
        <v>16.1</v>
      </c>
      <c r="AE30" s="1" t="n">
        <f aca="false">AE14</f>
        <v>0.032</v>
      </c>
    </row>
    <row r="31" customFormat="false" ht="12.8" hidden="false" customHeight="false" outlineLevel="0" collapsed="false">
      <c r="A31" s="1" t="n">
        <v>251</v>
      </c>
      <c r="B31" s="1" t="n">
        <f aca="false">C31/1000</f>
        <v>2.906</v>
      </c>
      <c r="C31" s="1" t="n">
        <v>2906</v>
      </c>
      <c r="I31" s="1" t="n">
        <f aca="false">I15</f>
        <v>13.1</v>
      </c>
      <c r="J31" s="1" t="n">
        <f aca="false">J15</f>
        <v>0.077</v>
      </c>
      <c r="P31" s="1" t="n">
        <f aca="false">P15</f>
        <v>13</v>
      </c>
      <c r="Q31" s="1" t="n">
        <f aca="false">Q15</f>
        <v>0.079</v>
      </c>
      <c r="W31" s="1" t="n">
        <f aca="false">W15</f>
        <v>13.1</v>
      </c>
      <c r="X31" s="1" t="n">
        <f aca="false">X15</f>
        <v>0.045</v>
      </c>
      <c r="AD31" s="1" t="n">
        <f aca="false">AD15</f>
        <v>13</v>
      </c>
      <c r="AE31" s="1" t="n">
        <f aca="false">AE15</f>
        <v>0.031</v>
      </c>
    </row>
    <row r="32" customFormat="false" ht="12.8" hidden="false" customHeight="false" outlineLevel="0" collapsed="false">
      <c r="I32" s="1" t="n">
        <f aca="false">I16</f>
        <v>10.1</v>
      </c>
      <c r="J32" s="1" t="n">
        <f aca="false">J16</f>
        <v>0.064</v>
      </c>
      <c r="P32" s="1" t="n">
        <f aca="false">P16</f>
        <v>10</v>
      </c>
      <c r="Q32" s="1" t="n">
        <f aca="false">Q16</f>
        <v>0.07</v>
      </c>
      <c r="W32" s="1" t="n">
        <f aca="false">W16</f>
        <v>10.1</v>
      </c>
      <c r="X32" s="1" t="n">
        <f aca="false">X16</f>
        <v>0.039</v>
      </c>
      <c r="AD32" s="1" t="n">
        <f aca="false">AD16</f>
        <v>10.2</v>
      </c>
      <c r="AE32" s="1" t="n">
        <f aca="false">AE16</f>
        <v>0.028</v>
      </c>
    </row>
    <row r="33" customFormat="false" ht="12.8" hidden="false" customHeight="false" outlineLevel="0" collapsed="false">
      <c r="I33" s="1" t="n">
        <f aca="false">I17</f>
        <v>8</v>
      </c>
      <c r="J33" s="1" t="n">
        <f aca="false">J17</f>
        <v>0.052</v>
      </c>
      <c r="P33" s="1" t="n">
        <f aca="false">P17</f>
        <v>8</v>
      </c>
      <c r="Q33" s="1" t="n">
        <f aca="false">Q17</f>
        <v>0.062</v>
      </c>
      <c r="W33" s="1" t="n">
        <f aca="false">W17</f>
        <v>8</v>
      </c>
      <c r="X33" s="1" t="n">
        <f aca="false">X17</f>
        <v>0.032</v>
      </c>
      <c r="AD33" s="1" t="n">
        <f aca="false">AD17</f>
        <v>8</v>
      </c>
      <c r="AE33" s="1" t="n">
        <f aca="false">AE17</f>
        <v>0.026</v>
      </c>
    </row>
    <row r="34" customFormat="false" ht="12.8" hidden="false" customHeight="false" outlineLevel="0" collapsed="false">
      <c r="B34" s="1" t="s">
        <v>20</v>
      </c>
      <c r="C34" s="1" t="s">
        <v>21</v>
      </c>
      <c r="D34" s="1" t="s">
        <v>22</v>
      </c>
      <c r="I34" s="1" t="n">
        <f aca="false">I18</f>
        <v>6.1</v>
      </c>
      <c r="J34" s="1" t="n">
        <f aca="false">J18</f>
        <v>0.038</v>
      </c>
      <c r="P34" s="1" t="n">
        <f aca="false">P18</f>
        <v>6</v>
      </c>
      <c r="Q34" s="1" t="n">
        <f aca="false">Q18</f>
        <v>0.051</v>
      </c>
      <c r="W34" s="1" t="n">
        <f aca="false">W18</f>
        <v>6</v>
      </c>
      <c r="X34" s="1" t="n">
        <f aca="false">X18</f>
        <v>0.024</v>
      </c>
      <c r="AD34" s="1" t="n">
        <f aca="false">AD18</f>
        <v>6.1</v>
      </c>
      <c r="AE34" s="1" t="n">
        <f aca="false">AE18</f>
        <v>0.023</v>
      </c>
    </row>
    <row r="35" customFormat="false" ht="12.8" hidden="false" customHeight="false" outlineLevel="0" collapsed="false">
      <c r="A35" s="1" t="s">
        <v>23</v>
      </c>
      <c r="B35" s="2" t="n">
        <v>107.7</v>
      </c>
      <c r="C35" s="1" t="n">
        <v>3.3</v>
      </c>
      <c r="D35" s="1" t="n">
        <f aca="false">C35/B35*100</f>
        <v>3.06406685236769</v>
      </c>
      <c r="I35" s="1" t="n">
        <f aca="false">I19</f>
        <v>4</v>
      </c>
      <c r="J35" s="1" t="n">
        <f aca="false">J19</f>
        <v>0.021</v>
      </c>
      <c r="P35" s="1" t="n">
        <f aca="false">P19</f>
        <v>4</v>
      </c>
      <c r="Q35" s="1" t="n">
        <f aca="false">Q19</f>
        <v>0.038</v>
      </c>
      <c r="W35" s="1" t="n">
        <f aca="false">W19</f>
        <v>4</v>
      </c>
      <c r="X35" s="1" t="n">
        <f aca="false">X19</f>
        <v>0.014</v>
      </c>
      <c r="AD35" s="1" t="n">
        <f aca="false">AD19</f>
        <v>4</v>
      </c>
      <c r="AE35" s="1" t="n">
        <f aca="false">AE19</f>
        <v>0.018</v>
      </c>
    </row>
    <row r="36" customFormat="false" ht="12.8" hidden="false" customHeight="false" outlineLevel="0" collapsed="false">
      <c r="A36" s="1" t="s">
        <v>24</v>
      </c>
      <c r="B36" s="2" t="n">
        <v>79.9</v>
      </c>
      <c r="C36" s="2" t="n">
        <v>13.4</v>
      </c>
      <c r="D36" s="1" t="n">
        <f aca="false">C36/B36*100</f>
        <v>16.7709637046308</v>
      </c>
      <c r="I36" s="1" t="n">
        <f aca="false">I20</f>
        <v>2</v>
      </c>
      <c r="J36" s="1" t="n">
        <f aca="false">J20</f>
        <v>0.002</v>
      </c>
      <c r="P36" s="1" t="n">
        <f aca="false">P20</f>
        <v>2</v>
      </c>
      <c r="Q36" s="1" t="n">
        <f aca="false">Q20</f>
        <v>0.023</v>
      </c>
      <c r="W36" s="1" t="n">
        <f aca="false">W20</f>
        <v>2</v>
      </c>
      <c r="X36" s="1" t="n">
        <f aca="false">X20</f>
        <v>0.002</v>
      </c>
      <c r="AD36" s="1" t="n">
        <f aca="false">AD20</f>
        <v>2</v>
      </c>
      <c r="AE36" s="1" t="n">
        <f aca="false">AE20</f>
        <v>0.012</v>
      </c>
    </row>
    <row r="37" customFormat="false" ht="12.8" hidden="false" customHeight="false" outlineLevel="0" collapsed="false">
      <c r="A37" s="1" t="s">
        <v>25</v>
      </c>
      <c r="B37" s="1" t="n">
        <f aca="false">(B36+B35)/2</f>
        <v>93.8</v>
      </c>
      <c r="C37" s="1" t="n">
        <f aca="false">SQRT(C35^2+C36^2)/2</f>
        <v>6.90018115704218</v>
      </c>
      <c r="D37" s="1" t="n">
        <f aca="false">C37/B37*100</f>
        <v>7.35626989023687</v>
      </c>
      <c r="I37" s="1" t="n">
        <f aca="false">I21</f>
        <v>0.81</v>
      </c>
      <c r="J37" s="1" t="n">
        <f aca="false">J21</f>
        <v>-0.01</v>
      </c>
      <c r="P37" s="1" t="n">
        <f aca="false">P21</f>
        <v>0.7</v>
      </c>
      <c r="Q37" s="1" t="n">
        <f aca="false">Q21</f>
        <v>0.011</v>
      </c>
      <c r="W37" s="1" t="n">
        <f aca="false">W21</f>
        <v>0.64</v>
      </c>
      <c r="X37" s="1" t="n">
        <f aca="false">X21</f>
        <v>-0.007</v>
      </c>
      <c r="AD37" s="1" t="n">
        <f aca="false">AD21</f>
        <v>0.8</v>
      </c>
      <c r="AE37" s="1" t="n">
        <f aca="false">AE21</f>
        <v>0.007</v>
      </c>
    </row>
    <row r="38" customFormat="false" ht="12.8" hidden="false" customHeight="false" outlineLevel="0" collapsed="false">
      <c r="I38" s="1" t="n">
        <f aca="false">-L11</f>
        <v>-0.73</v>
      </c>
      <c r="J38" s="1" t="n">
        <f aca="false">-M11</f>
        <v>-0.012</v>
      </c>
      <c r="P38" s="1" t="n">
        <f aca="false">-S11</f>
        <v>-2.1</v>
      </c>
      <c r="Q38" s="1" t="n">
        <f aca="false">-T11</f>
        <v>-0.003</v>
      </c>
      <c r="W38" s="1" t="n">
        <f aca="false">-Z11</f>
        <v>-0.48</v>
      </c>
      <c r="X38" s="1" t="n">
        <f aca="false">-AA11</f>
        <v>-0.011</v>
      </c>
      <c r="AD38" s="1" t="n">
        <f aca="false">-AG11</f>
        <v>-0.8</v>
      </c>
      <c r="AE38" s="1" t="n">
        <f aca="false">-AH11</f>
        <v>0.003</v>
      </c>
    </row>
    <row r="39" customFormat="false" ht="12.8" hidden="false" customHeight="false" outlineLevel="0" collapsed="false">
      <c r="I39" s="1" t="n">
        <f aca="false">-L12</f>
        <v>-2.1</v>
      </c>
      <c r="J39" s="1" t="n">
        <f aca="false">-M12</f>
        <v>-0.025</v>
      </c>
      <c r="P39" s="1" t="n">
        <f aca="false">-S12</f>
        <v>-4</v>
      </c>
      <c r="Q39" s="1" t="n">
        <f aca="false">-T12</f>
        <v>-0.017</v>
      </c>
      <c r="W39" s="1" t="n">
        <f aca="false">-Z12</f>
        <v>-2</v>
      </c>
      <c r="X39" s="1" t="n">
        <f aca="false">-AA12</f>
        <v>-0.02</v>
      </c>
      <c r="AD39" s="1" t="n">
        <f aca="false">-AG12</f>
        <v>-2</v>
      </c>
      <c r="AE39" s="1" t="n">
        <f aca="false">-AH12</f>
        <v>-0.0008</v>
      </c>
    </row>
    <row r="40" customFormat="false" ht="12.8" hidden="false" customHeight="false" outlineLevel="0" collapsed="false">
      <c r="I40" s="1" t="n">
        <f aca="false">-L13</f>
        <v>-4.2</v>
      </c>
      <c r="J40" s="1" t="n">
        <f aca="false">-M13</f>
        <v>-0.043</v>
      </c>
      <c r="P40" s="1" t="n">
        <f aca="false">-S13</f>
        <v>-6</v>
      </c>
      <c r="Q40" s="1" t="n">
        <f aca="false">-T13</f>
        <v>-0.03</v>
      </c>
      <c r="W40" s="1" t="n">
        <f aca="false">-Z13</f>
        <v>-4.1</v>
      </c>
      <c r="X40" s="1" t="n">
        <f aca="false">-AA13</f>
        <v>-0.032</v>
      </c>
      <c r="AD40" s="1" t="n">
        <f aca="false">-AG13</f>
        <v>-4.1</v>
      </c>
      <c r="AE40" s="1" t="n">
        <f aca="false">-AH13</f>
        <v>-0.007</v>
      </c>
    </row>
    <row r="41" customFormat="false" ht="12.8" hidden="false" customHeight="false" outlineLevel="0" collapsed="false">
      <c r="I41" s="1" t="n">
        <f aca="false">-L14</f>
        <v>-6</v>
      </c>
      <c r="J41" s="1" t="n">
        <f aca="false">-M14</f>
        <v>-0.059</v>
      </c>
      <c r="P41" s="1" t="n">
        <f aca="false">-S14</f>
        <v>-8</v>
      </c>
      <c r="Q41" s="1" t="n">
        <f aca="false">-T14</f>
        <v>-0.043</v>
      </c>
      <c r="W41" s="1" t="n">
        <f aca="false">-Z14</f>
        <v>-6.1</v>
      </c>
      <c r="X41" s="1" t="n">
        <f aca="false">-AA14</f>
        <v>-0.042</v>
      </c>
      <c r="AD41" s="1" t="n">
        <f aca="false">-AG14</f>
        <v>-6.1</v>
      </c>
      <c r="AE41" s="1" t="n">
        <f aca="false">-AH14</f>
        <v>-0.012</v>
      </c>
    </row>
    <row r="42" customFormat="false" ht="12.8" hidden="false" customHeight="false" outlineLevel="0" collapsed="false">
      <c r="I42" s="1" t="n">
        <f aca="false">-L15</f>
        <v>-8.1</v>
      </c>
      <c r="J42" s="1" t="n">
        <f aca="false">-M15</f>
        <v>-0.072</v>
      </c>
      <c r="P42" s="1" t="n">
        <f aca="false">-S15</f>
        <v>-10</v>
      </c>
      <c r="Q42" s="1" t="n">
        <f aca="false">-T15</f>
        <v>-0.052</v>
      </c>
      <c r="W42" s="1" t="n">
        <f aca="false">-Z15</f>
        <v>-8.1</v>
      </c>
      <c r="X42" s="1" t="n">
        <f aca="false">-AA15</f>
        <v>-0.049</v>
      </c>
      <c r="AD42" s="1" t="n">
        <f aca="false">-AG15</f>
        <v>-8.1</v>
      </c>
      <c r="AE42" s="1" t="n">
        <f aca="false">-AH15</f>
        <v>-0.016</v>
      </c>
    </row>
    <row r="43" customFormat="false" ht="12.8" hidden="false" customHeight="false" outlineLevel="0" collapsed="false">
      <c r="I43" s="1" t="n">
        <f aca="false">-L16</f>
        <v>-10</v>
      </c>
      <c r="J43" s="1" t="n">
        <f aca="false">-M16</f>
        <v>-0.083</v>
      </c>
      <c r="P43" s="1" t="n">
        <f aca="false">-S16</f>
        <v>-13</v>
      </c>
      <c r="Q43" s="1" t="n">
        <f aca="false">-T16</f>
        <v>-0.06</v>
      </c>
      <c r="W43" s="1" t="n">
        <f aca="false">-Z16</f>
        <v>-10</v>
      </c>
      <c r="X43" s="1" t="n">
        <f aca="false">-AA16</f>
        <v>-0.055</v>
      </c>
      <c r="AD43" s="1" t="n">
        <f aca="false">-AG16</f>
        <v>-10.2</v>
      </c>
      <c r="AE43" s="1" t="n">
        <f aca="false">-AH16</f>
        <v>-0.019</v>
      </c>
    </row>
    <row r="44" customFormat="false" ht="12.8" hidden="false" customHeight="false" outlineLevel="0" collapsed="false">
      <c r="I44" s="1" t="n">
        <f aca="false">-L17</f>
        <v>-13</v>
      </c>
      <c r="J44" s="1" t="n">
        <f aca="false">-M17</f>
        <v>-0.096</v>
      </c>
      <c r="P44" s="1" t="n">
        <f aca="false">-S17</f>
        <v>-16</v>
      </c>
      <c r="Q44" s="1" t="n">
        <f aca="false">-T17</f>
        <v>-0.067</v>
      </c>
      <c r="W44" s="1" t="n">
        <f aca="false">-Z17</f>
        <v>-13</v>
      </c>
      <c r="X44" s="1" t="n">
        <f aca="false">-AA17</f>
        <v>-0.06</v>
      </c>
      <c r="AD44" s="1" t="n">
        <f aca="false">-AG17</f>
        <v>-13.1</v>
      </c>
      <c r="AE44" s="1" t="n">
        <f aca="false">-AH17</f>
        <v>-0.021</v>
      </c>
    </row>
    <row r="45" customFormat="false" ht="12.8" hidden="false" customHeight="false" outlineLevel="0" collapsed="false">
      <c r="I45" s="1" t="n">
        <f aca="false">-L18</f>
        <v>-16.1</v>
      </c>
      <c r="J45" s="1" t="n">
        <f aca="false">-M18</f>
        <v>-0.102</v>
      </c>
      <c r="P45" s="1" t="n">
        <f aca="false">-S18</f>
        <v>-19</v>
      </c>
      <c r="Q45" s="1" t="n">
        <f aca="false">-T18</f>
        <v>-0.07</v>
      </c>
      <c r="W45" s="1" t="n">
        <f aca="false">-Z18</f>
        <v>-16</v>
      </c>
      <c r="X45" s="1" t="n">
        <f aca="false">-AA18</f>
        <v>-0.063</v>
      </c>
      <c r="AD45" s="1" t="n">
        <f aca="false">-AG18</f>
        <v>-16.1</v>
      </c>
      <c r="AE45" s="1" t="n">
        <f aca="false">-AH18</f>
        <v>-0.022</v>
      </c>
    </row>
    <row r="46" customFormat="false" ht="12.8" hidden="false" customHeight="false" outlineLevel="0" collapsed="false">
      <c r="I46" s="1" t="n">
        <f aca="false">-L19</f>
        <v>-18</v>
      </c>
      <c r="J46" s="1" t="n">
        <f aca="false">-M19</f>
        <v>-0.104</v>
      </c>
      <c r="P46" s="1" t="n">
        <f aca="false">-S19</f>
        <v>-22</v>
      </c>
      <c r="Q46" s="1" t="n">
        <f aca="false">-T19</f>
        <v>-0.073</v>
      </c>
      <c r="W46" s="1" t="n">
        <f aca="false">-Z19</f>
        <v>-19</v>
      </c>
      <c r="X46" s="1" t="n">
        <f aca="false">-AA19</f>
        <v>-0.065</v>
      </c>
      <c r="AD46" s="1" t="n">
        <f aca="false">-AG19</f>
        <v>-19.1</v>
      </c>
      <c r="AE46" s="1" t="n">
        <f aca="false">-AH19</f>
        <v>-0.023</v>
      </c>
    </row>
    <row r="47" customFormat="false" ht="12.8" hidden="false" customHeight="false" outlineLevel="0" collapsed="false">
      <c r="I47" s="1" t="n">
        <f aca="false">-L20</f>
        <v>-21</v>
      </c>
      <c r="J47" s="1" t="n">
        <f aca="false">-M20</f>
        <v>-0.106</v>
      </c>
      <c r="P47" s="1" t="n">
        <f aca="false">-S20</f>
        <v>-25.1</v>
      </c>
      <c r="Q47" s="1" t="n">
        <f aca="false">-T20</f>
        <v>-0.073</v>
      </c>
      <c r="W47" s="1" t="n">
        <f aca="false">-Z20</f>
        <v>-22.1</v>
      </c>
      <c r="X47" s="1" t="n">
        <f aca="false">-AA20</f>
        <v>-0.067</v>
      </c>
      <c r="AD47" s="1" t="n">
        <f aca="false">-AG20</f>
        <v>-22.1</v>
      </c>
      <c r="AE47" s="1" t="n">
        <f aca="false">-AH20</f>
        <v>-0.024</v>
      </c>
    </row>
    <row r="48" customFormat="false" ht="12.8" hidden="false" customHeight="false" outlineLevel="0" collapsed="false">
      <c r="I48" s="1" t="n">
        <f aca="false">-L21</f>
        <v>-23.1</v>
      </c>
      <c r="J48" s="1" t="n">
        <f aca="false">-M21</f>
        <v>-0.106</v>
      </c>
      <c r="W48" s="1" t="n">
        <f aca="false">-Z21</f>
        <v>-25.2</v>
      </c>
      <c r="X48" s="1" t="n">
        <f aca="false">-AA21</f>
        <v>-0.069</v>
      </c>
      <c r="AD48" s="1" t="n">
        <f aca="false">-AG21</f>
        <v>-25.1</v>
      </c>
      <c r="AE48" s="1" t="n">
        <f aca="false">-AH21</f>
        <v>-0.025</v>
      </c>
    </row>
    <row r="50" customFormat="false" ht="12.8" hidden="false" customHeight="false" outlineLevel="0" collapsed="false">
      <c r="H50" s="3"/>
      <c r="I50" s="4" t="s">
        <v>26</v>
      </c>
      <c r="J50" s="4" t="s">
        <v>27</v>
      </c>
      <c r="K50" s="4" t="s">
        <v>28</v>
      </c>
      <c r="L50" s="5" t="s">
        <v>29</v>
      </c>
      <c r="M50" s="6" t="s">
        <v>30</v>
      </c>
      <c r="N50" s="7" t="s">
        <v>31</v>
      </c>
      <c r="O50" s="3"/>
      <c r="P50" s="4" t="s">
        <v>26</v>
      </c>
      <c r="Q50" s="4" t="s">
        <v>27</v>
      </c>
      <c r="R50" s="4" t="s">
        <v>28</v>
      </c>
      <c r="S50" s="5" t="s">
        <v>29</v>
      </c>
      <c r="T50" s="6" t="s">
        <v>30</v>
      </c>
      <c r="U50" s="7" t="s">
        <v>31</v>
      </c>
      <c r="V50" s="3"/>
      <c r="W50" s="4" t="s">
        <v>26</v>
      </c>
      <c r="X50" s="4" t="s">
        <v>27</v>
      </c>
      <c r="Y50" s="4" t="s">
        <v>28</v>
      </c>
      <c r="Z50" s="5" t="s">
        <v>29</v>
      </c>
      <c r="AA50" s="6" t="s">
        <v>30</v>
      </c>
      <c r="AB50" s="7" t="s">
        <v>31</v>
      </c>
      <c r="AC50" s="3"/>
      <c r="AD50" s="4" t="s">
        <v>26</v>
      </c>
      <c r="AE50" s="4" t="s">
        <v>27</v>
      </c>
      <c r="AF50" s="4" t="s">
        <v>28</v>
      </c>
      <c r="AG50" s="5" t="s">
        <v>29</v>
      </c>
      <c r="AH50" s="6" t="s">
        <v>30</v>
      </c>
      <c r="AI50" s="7" t="s">
        <v>31</v>
      </c>
    </row>
    <row r="51" customFormat="false" ht="12.8" hidden="false" customHeight="false" outlineLevel="0" collapsed="false">
      <c r="H51" s="8" t="s">
        <v>23</v>
      </c>
      <c r="I51" s="2" t="n">
        <v>0.080136</v>
      </c>
      <c r="J51" s="2" t="n">
        <v>0.002746</v>
      </c>
      <c r="K51" s="9" t="n">
        <f aca="false">J51/I51*100</f>
        <v>3.42667465308975</v>
      </c>
      <c r="L51" s="2" t="n">
        <v>0.008438</v>
      </c>
      <c r="M51" s="2" t="n">
        <v>0.000683</v>
      </c>
      <c r="N51" s="9" t="n">
        <f aca="false">M51/L51*100</f>
        <v>8.0943351505096</v>
      </c>
      <c r="O51" s="8" t="s">
        <v>23</v>
      </c>
      <c r="P51" s="2" t="n">
        <v>0.073929</v>
      </c>
      <c r="Q51" s="2" t="n">
        <v>0.002491</v>
      </c>
      <c r="R51" s="9" t="n">
        <f aca="false">Q51/P51*100</f>
        <v>3.36944906599575</v>
      </c>
      <c r="S51" s="2" t="n">
        <v>0.007365</v>
      </c>
      <c r="T51" s="2" t="n">
        <v>0.000737</v>
      </c>
      <c r="U51" s="9" t="n">
        <f aca="false">T51/S51*100</f>
        <v>10.0067888662593</v>
      </c>
      <c r="V51" s="8" t="s">
        <v>23</v>
      </c>
      <c r="W51" s="2" t="n">
        <v>0.056166</v>
      </c>
      <c r="X51" s="2" t="n">
        <v>0.00174</v>
      </c>
      <c r="Y51" s="9" t="n">
        <f aca="false">X51/W51*100</f>
        <v>3.09795961969875</v>
      </c>
      <c r="Z51" s="2" t="n">
        <v>0.005814</v>
      </c>
      <c r="AA51" s="2" t="n">
        <v>0.00058</v>
      </c>
      <c r="AB51" s="9" t="n">
        <f aca="false">AA51/Z51*100</f>
        <v>9.97592019263846</v>
      </c>
      <c r="AC51" s="8" t="s">
        <v>23</v>
      </c>
      <c r="AD51" s="2" t="n">
        <v>0.028199</v>
      </c>
      <c r="AE51" s="2" t="n">
        <v>0.001214</v>
      </c>
      <c r="AF51" s="9" t="n">
        <f aca="false">AE51/AD51*100</f>
        <v>4.30511720273769</v>
      </c>
      <c r="AG51" s="2" t="n">
        <v>0.003041</v>
      </c>
      <c r="AH51" s="2" t="n">
        <v>0.000451</v>
      </c>
      <c r="AI51" s="9" t="n">
        <f aca="false">AH51/AG51*100</f>
        <v>14.8306478132193</v>
      </c>
    </row>
    <row r="52" customFormat="false" ht="12.8" hidden="false" customHeight="false" outlineLevel="0" collapsed="false">
      <c r="H52" s="8" t="s">
        <v>24</v>
      </c>
      <c r="I52" s="2" t="n">
        <v>0.077898</v>
      </c>
      <c r="J52" s="2" t="n">
        <v>0.002706</v>
      </c>
      <c r="K52" s="9" t="n">
        <f aca="false">J52/I52*100</f>
        <v>3.47377339597936</v>
      </c>
      <c r="L52" s="2" t="n">
        <v>0.007848</v>
      </c>
      <c r="M52" s="2" t="n">
        <v>0.000831</v>
      </c>
      <c r="N52" s="9" t="n">
        <f aca="false">M52/L52*100</f>
        <v>10.5886850152905</v>
      </c>
      <c r="O52" s="8" t="s">
        <v>24</v>
      </c>
      <c r="P52" s="2" t="n">
        <v>0.065583</v>
      </c>
      <c r="Q52" s="2" t="n">
        <v>0.00289</v>
      </c>
      <c r="R52" s="9" t="n">
        <f aca="false">Q52/P52*100</f>
        <v>4.40662976686031</v>
      </c>
      <c r="S52" s="2" t="n">
        <v>0.006429</v>
      </c>
      <c r="T52" s="2" t="n">
        <v>0.000278</v>
      </c>
      <c r="U52" s="9" t="n">
        <f aca="false">T52/S52*100</f>
        <v>4.32415616736662</v>
      </c>
      <c r="V52" s="8" t="s">
        <v>24</v>
      </c>
      <c r="W52" s="2" t="n">
        <v>0.045086</v>
      </c>
      <c r="X52" s="2" t="n">
        <v>8.2E-005</v>
      </c>
      <c r="Y52" s="9" t="n">
        <f aca="false">X52/W52*100</f>
        <v>0.181874639577696</v>
      </c>
      <c r="Z52" s="2" t="n">
        <v>0.00559</v>
      </c>
      <c r="AA52" s="2" t="n">
        <v>0.000208</v>
      </c>
      <c r="AB52" s="9" t="n">
        <f aca="false">AA52/Z52*100</f>
        <v>3.72093023255814</v>
      </c>
      <c r="AC52" s="8" t="s">
        <v>24</v>
      </c>
      <c r="AD52" s="2" t="n">
        <v>0.020437</v>
      </c>
      <c r="AE52" s="2" t="n">
        <v>0.000582</v>
      </c>
      <c r="AF52" s="9" t="n">
        <f aca="false">AE52/AD52*100</f>
        <v>2.84777609238147</v>
      </c>
      <c r="AG52" s="2" t="n">
        <v>0.002803</v>
      </c>
      <c r="AH52" s="2" t="n">
        <v>6.3E-005</v>
      </c>
      <c r="AI52" s="9" t="n">
        <f aca="false">AH52/AG52*100</f>
        <v>2.24759186585801</v>
      </c>
    </row>
    <row r="53" customFormat="false" ht="12.8" hidden="false" customHeight="false" outlineLevel="0" collapsed="false">
      <c r="H53" s="10"/>
      <c r="I53" s="11" t="n">
        <v>0.079</v>
      </c>
      <c r="J53" s="11" t="n">
        <v>0.001927</v>
      </c>
      <c r="K53" s="12" t="n">
        <f aca="false">J53/I53*100</f>
        <v>2.43924050632911</v>
      </c>
      <c r="L53" s="11" t="n">
        <v>0.0082</v>
      </c>
      <c r="M53" s="11" t="n">
        <v>0.000527</v>
      </c>
      <c r="N53" s="12" t="n">
        <f aca="false">M53/L53*100</f>
        <v>6.42682926829268</v>
      </c>
      <c r="O53" s="10"/>
      <c r="P53" s="11" t="n">
        <v>0.070372</v>
      </c>
      <c r="Q53" s="11" t="n">
        <v>0.001887</v>
      </c>
      <c r="R53" s="12" t="n">
        <f aca="false">Q53/P53*100</f>
        <v>2.68146421872336</v>
      </c>
      <c r="S53" s="11" t="n">
        <v>0.006545</v>
      </c>
      <c r="T53" s="11" t="n">
        <v>0.00026</v>
      </c>
      <c r="U53" s="12" t="n">
        <f aca="false">T53/S53*100</f>
        <v>3.97249809014515</v>
      </c>
      <c r="V53" s="10"/>
      <c r="W53" s="11" t="n">
        <v>0.045111</v>
      </c>
      <c r="X53" s="11" t="n">
        <v>8.2E-005</v>
      </c>
      <c r="Y53" s="12" t="n">
        <f aca="false">X53/W53*100</f>
        <v>0.181773846733613</v>
      </c>
      <c r="Z53" s="11" t="n">
        <v>0.005615</v>
      </c>
      <c r="AA53" s="11" t="n">
        <v>0.000195</v>
      </c>
      <c r="AB53" s="12" t="n">
        <f aca="false">AA53/Z53*100</f>
        <v>3.47284060552093</v>
      </c>
      <c r="AC53" s="10"/>
      <c r="AD53" s="11" t="n">
        <v>0.021886</v>
      </c>
      <c r="AE53" s="11" t="n">
        <v>0.000525</v>
      </c>
      <c r="AF53" s="12" t="n">
        <f aca="false">AE53/AD53*100</f>
        <v>2.39879374942886</v>
      </c>
      <c r="AG53" s="11" t="n">
        <v>0.002808</v>
      </c>
      <c r="AH53" s="11" t="n">
        <v>6.2E-005</v>
      </c>
      <c r="AI53" s="12" t="n">
        <f aca="false">AH53/AG53*100</f>
        <v>2.20797720797721</v>
      </c>
    </row>
    <row r="55" customFormat="false" ht="12.8" hidden="false" customHeight="false" outlineLevel="0" collapsed="false">
      <c r="H55" s="1" t="s">
        <v>32</v>
      </c>
      <c r="I55" s="1" t="s">
        <v>33</v>
      </c>
      <c r="O55" s="1" t="s">
        <v>32</v>
      </c>
      <c r="P55" s="1" t="s">
        <v>33</v>
      </c>
      <c r="V55" s="1" t="s">
        <v>32</v>
      </c>
      <c r="W55" s="1" t="s">
        <v>33</v>
      </c>
      <c r="AC55" s="1" t="s">
        <v>32</v>
      </c>
      <c r="AD55" s="1" t="s">
        <v>33</v>
      </c>
    </row>
    <row r="56" customFormat="false" ht="12.8" hidden="false" customHeight="false" outlineLevel="0" collapsed="false">
      <c r="H56" s="1" t="n">
        <f aca="false">1/$A$71/2*ABS($B$71)*I53/1000/L53*1000</f>
        <v>55899.8129025888</v>
      </c>
      <c r="I56" s="1" t="n">
        <f aca="false">H56*SQRT(K$53^2+N$53^2)/100</f>
        <v>3842.6406670601</v>
      </c>
      <c r="J56" s="1" t="n">
        <f aca="false">I56/H56*100</f>
        <v>6.87415658037407</v>
      </c>
      <c r="O56" s="1" t="n">
        <f aca="false">1/$A$71/2*ABS($B$71)*P53/1000/S53*1000</f>
        <v>62386.0312643027</v>
      </c>
      <c r="P56" s="1" t="n">
        <f aca="false">O56*SQRT(R$53^2+U$53^2)/100</f>
        <v>2990.0415848961</v>
      </c>
      <c r="Q56" s="1" t="n">
        <f aca="false">P56/O56*100</f>
        <v>4.79280621687343</v>
      </c>
      <c r="V56" s="1" t="n">
        <f aca="false">1/$A$71/2*ABS($B$71)*W53/1000/Z53*1000</f>
        <v>46615.4422957476</v>
      </c>
      <c r="W56" s="1" t="n">
        <f aca="false">V56*SQRT(Y$53^2+AB$53^2)/100</f>
        <v>1621.09606388059</v>
      </c>
      <c r="X56" s="1" t="n">
        <f aca="false">W56/V56*100</f>
        <v>3.47759451384306</v>
      </c>
      <c r="AC56" s="1" t="n">
        <f aca="false">1/$A$71/2*ABS($B$71)*AD53/1000/AG53*1000</f>
        <v>45223.732836226</v>
      </c>
      <c r="AD56" s="1" t="n">
        <f aca="false">AC56*SQRT(AF$53^2+AI$53^2)/100</f>
        <v>1474.41678843202</v>
      </c>
      <c r="AE56" s="1" t="n">
        <f aca="false">AD56/AC56*100</f>
        <v>3.26027219772304</v>
      </c>
    </row>
    <row r="57" customFormat="false" ht="12.8" hidden="false" customHeight="false" outlineLevel="0" collapsed="false">
      <c r="H57" s="1" t="n">
        <f aca="false">1/2*I53/1000/L53*1000</f>
        <v>4.81707317073171</v>
      </c>
      <c r="I57" s="1" t="n">
        <f aca="false">H57*SQRT(K$53^2+N$53^2)/100</f>
        <v>0.331133152347288</v>
      </c>
      <c r="J57" s="1" t="n">
        <f aca="false">I57/H57*100</f>
        <v>6.87415658037407</v>
      </c>
      <c r="O57" s="1" t="n">
        <f aca="false">1/2*P53/1000/S53*1000</f>
        <v>5.37601222307105</v>
      </c>
      <c r="P57" s="1" t="n">
        <f aca="false">O57*SQRT(R$53^2+U$53^2)/100</f>
        <v>0.257661848047224</v>
      </c>
      <c r="Q57" s="1" t="n">
        <f aca="false">P57/O57*100</f>
        <v>4.79280621687343</v>
      </c>
      <c r="V57" s="1" t="n">
        <f aca="false">1/2*W53/1000/Z53*1000</f>
        <v>4.01700801424755</v>
      </c>
      <c r="W57" s="1" t="n">
        <f aca="false">V57*SQRT(Y$53^2+AB$53^2)/100</f>
        <v>0.139695250324109</v>
      </c>
      <c r="X57" s="1" t="n">
        <f aca="false">W57/V57*100</f>
        <v>3.47759451384306</v>
      </c>
      <c r="AC57" s="1" t="n">
        <f aca="false">1/2*AD53/1000/AG53*1000</f>
        <v>3.89707977207977</v>
      </c>
      <c r="AD57" s="1" t="n">
        <f aca="false">AC57*SQRT(AF$53^2+AI$53^2)/100</f>
        <v>0.127055408332205</v>
      </c>
      <c r="AE57" s="1" t="n">
        <f aca="false">AD57/AC57*100</f>
        <v>3.26027219772304</v>
      </c>
    </row>
    <row r="59" customFormat="false" ht="12.8" hidden="false" customHeight="false" outlineLevel="0" collapsed="false">
      <c r="H59" s="1" t="s">
        <v>34</v>
      </c>
      <c r="O59" s="1" t="s">
        <v>34</v>
      </c>
      <c r="V59" s="1" t="s">
        <v>34</v>
      </c>
      <c r="AC59" s="1" t="s">
        <v>34</v>
      </c>
    </row>
    <row r="60" customFormat="false" ht="12.8" hidden="false" customHeight="false" outlineLevel="0" collapsed="false">
      <c r="H60" s="13" t="n">
        <f aca="false">I53/1000/0.4/ABS($B$71)/PI()/$A$3/$B$3*SQRT($A$75/2/$A$71/H56)/10^6</f>
        <v>55589619511.3546</v>
      </c>
      <c r="I60" s="13" t="n">
        <f aca="false">H60*SQRT(K53^2+(1/2*J56)^2)/100</f>
        <v>2342916260.81175</v>
      </c>
      <c r="J60" s="1" t="n">
        <f aca="false">I60/H60*100</f>
        <v>4.21466504251426</v>
      </c>
      <c r="O60" s="13" t="n">
        <f aca="false">P53/1000/0.4/ABS($B$71)/PI()/$A$3/$B$3*SQRT($A$75/2/$A$71/O56)/10^6</f>
        <v>46873566809.4149</v>
      </c>
      <c r="P60" s="13" t="n">
        <f aca="false">O60*SQRT(R53^2+(1/2*Q56)^2)/100</f>
        <v>1685689613.56284</v>
      </c>
      <c r="Q60" s="1" t="n">
        <f aca="false">P60/O60*100</f>
        <v>3.59624779658171</v>
      </c>
      <c r="V60" s="13" t="n">
        <f aca="false">W53/1000/0.4/ABS($B$71)/PI()/$A$3/$B$3*SQRT($A$75/2/$A$71/V56)/10^6</f>
        <v>34760765921.5232</v>
      </c>
      <c r="W60" s="13" t="n">
        <f aca="false">V60*SQRT(Y53^2+(1/2*X56)^2)/100</f>
        <v>607713000.647597</v>
      </c>
      <c r="X60" s="1" t="n">
        <f aca="false">W60/V60*100</f>
        <v>1.74827275676142</v>
      </c>
      <c r="AC60" s="13" t="n">
        <f aca="false">AD53/1000/0.4/ABS($B$71)/PI()/$A$3/$B$3*SQRT($A$75/2/$A$71/AC56)/10^6</f>
        <v>17122019164.3393</v>
      </c>
      <c r="AD60" s="13" t="n">
        <f aca="false">AC60*SQRT(AF53^2+(1/2*AE56)^2)/100</f>
        <v>496584462.887409</v>
      </c>
      <c r="AE60" s="1" t="n">
        <f aca="false">AD60/AC60*100</f>
        <v>2.90026811745232</v>
      </c>
    </row>
    <row r="62" customFormat="false" ht="12.8" hidden="false" customHeight="false" outlineLevel="0" collapsed="false">
      <c r="H62" s="1" t="s">
        <v>35</v>
      </c>
      <c r="O62" s="1" t="s">
        <v>35</v>
      </c>
      <c r="V62" s="1" t="s">
        <v>35</v>
      </c>
      <c r="AC62" s="1" t="s">
        <v>35</v>
      </c>
    </row>
    <row r="63" customFormat="false" ht="12.8" hidden="false" customHeight="false" outlineLevel="0" collapsed="false">
      <c r="H63" s="1" t="n">
        <f aca="false">SQRT($A$72*H56/4/PI()/H60/$B$72^2)</f>
        <v>0.00692013178597637</v>
      </c>
      <c r="I63" s="1" t="n">
        <f aca="false">H63/2*SQRT(J60^2+J56^2)/100</f>
        <v>0.000278996830309249</v>
      </c>
      <c r="J63" s="1" t="n">
        <f aca="false">I63/H63*100</f>
        <v>4.03166932275242</v>
      </c>
      <c r="O63" s="1" t="n">
        <f aca="false">SQRT($A$72*O56/4/PI()/O60/$B$72^2)</f>
        <v>0.00796133166867081</v>
      </c>
      <c r="P63" s="1" t="n">
        <f aca="false">O63/2*SQRT(Q60^2+Q56^2)/100</f>
        <v>0.00023852124981831</v>
      </c>
      <c r="Q63" s="1" t="n">
        <f aca="false">P63/O63*100</f>
        <v>2.99599689781713</v>
      </c>
      <c r="V63" s="1" t="n">
        <f aca="false">SQRT($A$72*V56/4/PI()/V60/$B$72^2)</f>
        <v>0.00799146266446311</v>
      </c>
      <c r="W63" s="1" t="n">
        <f aca="false">V63/2*SQRT(X60^2+X56^2)/100</f>
        <v>0.0001555264765693</v>
      </c>
      <c r="X63" s="1" t="n">
        <f aca="false">W63/V63*100</f>
        <v>1.94615783241914</v>
      </c>
      <c r="AC63" s="1" t="n">
        <f aca="false">SQRT($A$72*AC56/4/PI()/AC60/$B$72^2)</f>
        <v>0.0112153221488243</v>
      </c>
      <c r="AD63" s="1" t="n">
        <f aca="false">AC63/2*SQRT(AE60^2+AE56^2)/100</f>
        <v>0.000244695416706771</v>
      </c>
      <c r="AE63" s="1" t="n">
        <f aca="false">AD63/AC63*100</f>
        <v>2.1817957028762</v>
      </c>
    </row>
    <row r="66" customFormat="false" ht="12.8" hidden="false" customHeight="false" outlineLevel="0" collapsed="false">
      <c r="H66" s="1" t="s">
        <v>36</v>
      </c>
      <c r="O66" s="1" t="s">
        <v>36</v>
      </c>
      <c r="V66" s="1" t="s">
        <v>36</v>
      </c>
      <c r="AC66" s="1" t="s">
        <v>36</v>
      </c>
    </row>
    <row r="67" customFormat="false" ht="12.8" hidden="false" customHeight="false" outlineLevel="0" collapsed="false">
      <c r="H67" s="1" t="n">
        <f aca="false">SQRT($A$72*(H56*$D$71)/(H56+300)/4/PI()/H60/$B$72^2)</f>
        <v>0.000505600573235278</v>
      </c>
      <c r="I67" s="1" t="n">
        <f aca="false">H67/2*SQRT(J60^2+J56^2)/100</f>
        <v>2.03841432067871E-005</v>
      </c>
      <c r="J67" s="1" t="n">
        <f aca="false">I67/H67*100</f>
        <v>4.03166932275242</v>
      </c>
      <c r="O67" s="1" t="n">
        <f aca="false">SQRT($A$72*(O56*$D$71)/(O56+300)/4/PI()/O60/$B$72^2)</f>
        <v>0.000550758180943894</v>
      </c>
      <c r="P67" s="1" t="n">
        <f aca="false">O67/2*SQRT(Q60^2+Q56^2)/100</f>
        <v>1.65006980155531E-005</v>
      </c>
      <c r="Q67" s="1" t="n">
        <f aca="false">P67/O67*100</f>
        <v>2.99599689781713</v>
      </c>
      <c r="V67" s="1" t="n">
        <f aca="false">SQRT($A$72*(V56*$D$71)/(V56+300)/4/PI()/V60/$B$72^2)</f>
        <v>0.00063904140004469</v>
      </c>
      <c r="W67" s="1" t="n">
        <f aca="false">V67/2*SQRT(X60^2+X56^2)/100</f>
        <v>1.24367542593707E-005</v>
      </c>
      <c r="X67" s="1" t="n">
        <f aca="false">W67/V67*100</f>
        <v>1.94615783241914</v>
      </c>
      <c r="AC67" s="1" t="n">
        <f aca="false">SQRT($A$72*(AC56*$D$71)/(AC56+300)/4/PI()/AC60/$B$72^2)</f>
        <v>0.000910444438109576</v>
      </c>
      <c r="AD67" s="1" t="n">
        <f aca="false">AC67/2*SQRT(AE60^2+AE56^2)/100</f>
        <v>1.98640376277501E-005</v>
      </c>
      <c r="AE67" s="1" t="n">
        <f aca="false">AD67/AC67*100</f>
        <v>2.1817957028762</v>
      </c>
    </row>
    <row r="69" customFormat="false" ht="12.8" hidden="false" customHeight="true" outlineLevel="0" collapsed="false">
      <c r="H69" s="1" t="s">
        <v>37</v>
      </c>
      <c r="O69" s="1" t="s">
        <v>37</v>
      </c>
      <c r="V69" s="1" t="s">
        <v>37</v>
      </c>
      <c r="AC69" s="1" t="s">
        <v>37</v>
      </c>
    </row>
    <row r="70" customFormat="false" ht="12.8" hidden="false" customHeight="true" outlineLevel="0" collapsed="false">
      <c r="A70" s="1" t="s">
        <v>38</v>
      </c>
      <c r="B70" s="1" t="s">
        <v>39</v>
      </c>
      <c r="C70" s="1" t="s">
        <v>40</v>
      </c>
      <c r="D70" s="1" t="s">
        <v>41</v>
      </c>
      <c r="E70" s="1" t="s">
        <v>42</v>
      </c>
      <c r="H70" s="1" t="n">
        <f aca="false">4/3*PI()*H60*H67^3</f>
        <v>30.0957370523661</v>
      </c>
      <c r="I70" s="1" t="n">
        <f aca="false">H70*SQRT((J67*3)^2+J60^2)/100</f>
        <v>3.85475311459763</v>
      </c>
      <c r="J70" s="1" t="n">
        <f aca="false">I70/H70*100</f>
        <v>12.8083027436424</v>
      </c>
      <c r="O70" s="1" t="n">
        <f aca="false">4/3*PI()*O60*O67^3</f>
        <v>32.801936383342</v>
      </c>
      <c r="P70" s="1" t="n">
        <f aca="false">O70*SQRT((Q67*3)^2+Q60^2)/100</f>
        <v>3.1754743773459</v>
      </c>
      <c r="Q70" s="1" t="n">
        <f aca="false">P70/O70*100</f>
        <v>9.68075280750353</v>
      </c>
      <c r="V70" s="1" t="n">
        <f aca="false">4/3*PI()*V60*V67^3</f>
        <v>37.998366779616</v>
      </c>
      <c r="W70" s="1" t="n">
        <f aca="false">V70*SQRT((X67*3)^2+X60^2)/100</f>
        <v>2.31585099462683</v>
      </c>
      <c r="X70" s="1" t="n">
        <f aca="false">W70/V70*100</f>
        <v>6.09460666575059</v>
      </c>
      <c r="AC70" s="1" t="n">
        <f aca="false">4/3*PI()*AC60*AC67^3</f>
        <v>54.1257502898025</v>
      </c>
      <c r="AD70" s="1" t="n">
        <f aca="false">AC70*SQRT((AE67*3)^2+AE60^2)/100</f>
        <v>3.87495192412248</v>
      </c>
      <c r="AE70" s="1" t="n">
        <f aca="false">AD70/AC70*100</f>
        <v>7.15916528339107</v>
      </c>
    </row>
    <row r="71" customFormat="false" ht="12.8" hidden="false" customHeight="true" outlineLevel="0" collapsed="false">
      <c r="A71" s="14" t="n">
        <v>1.380649E-023</v>
      </c>
      <c r="B71" s="2" t="n">
        <f aca="false">-1.602176634*10^-19</f>
        <v>-1.602176634E-019</v>
      </c>
      <c r="C71" s="15" t="n">
        <v>266.6</v>
      </c>
      <c r="D71" s="1" t="n">
        <v>300</v>
      </c>
      <c r="E71" s="1" t="n">
        <f aca="false">C71/D71/A71/10^6</f>
        <v>64365864652541400</v>
      </c>
    </row>
    <row r="72" customFormat="false" ht="12.8" hidden="false" customHeight="true" outlineLevel="0" collapsed="false">
      <c r="A72" s="14" t="n">
        <v>1.380649E-016</v>
      </c>
      <c r="B72" s="1" t="n">
        <f aca="false" t="array" ref="B72:B72">4.8032*10^{-10}</f>
        <v>4.8032E-010</v>
      </c>
      <c r="H72" s="1" t="s">
        <v>43</v>
      </c>
      <c r="O72" s="1" t="s">
        <v>43</v>
      </c>
      <c r="V72" s="1" t="s">
        <v>43</v>
      </c>
      <c r="AC72" s="1" t="s">
        <v>43</v>
      </c>
    </row>
    <row r="73" customFormat="false" ht="12.8" hidden="false" customHeight="true" outlineLevel="0" collapsed="false">
      <c r="H73" s="1" t="n">
        <f aca="false">H60/$E$71</f>
        <v>8.63650629280558E-007</v>
      </c>
      <c r="I73" s="1" t="n">
        <f aca="false">H73*J63/100</f>
        <v>3.48195374764625E-008</v>
      </c>
      <c r="J73" s="1" t="n">
        <f aca="false">I73/H73</f>
        <v>0.0403166932275242</v>
      </c>
      <c r="O73" s="1" t="n">
        <f aca="false">O60/$E$71</f>
        <v>7.28236419450697E-007</v>
      </c>
      <c r="P73" s="1" t="n">
        <f aca="false">O73*Q63/100</f>
        <v>2.18179405355174E-008</v>
      </c>
      <c r="Q73" s="1" t="n">
        <f aca="false">P73/O73</f>
        <v>0.0299599689781713</v>
      </c>
      <c r="V73" s="1" t="n">
        <f aca="false">V60/$E$71</f>
        <v>5.40049700398933E-007</v>
      </c>
      <c r="W73" s="1" t="n">
        <f aca="false">V73*X63/100</f>
        <v>1.05102195432699E-008</v>
      </c>
      <c r="X73" s="1" t="n">
        <f aca="false">W73/V73</f>
        <v>0.0194615783241914</v>
      </c>
      <c r="AC73" s="1" t="n">
        <f aca="false">AC60/$E$71</f>
        <v>2.66010862384388E-007</v>
      </c>
      <c r="AD73" s="1" t="n">
        <f aca="false">AC73*AE63/100</f>
        <v>5.80381356468649E-009</v>
      </c>
      <c r="AE73" s="1" t="n">
        <f aca="false">AD73/AC73</f>
        <v>0.021817957028762</v>
      </c>
    </row>
    <row r="74" customFormat="false" ht="12.8" hidden="false" customHeight="true" outlineLevel="0" collapsed="false">
      <c r="A74" s="1" t="s">
        <v>44</v>
      </c>
      <c r="C74" s="0" t="s">
        <v>45</v>
      </c>
    </row>
    <row r="75" customFormat="false" ht="12.8" hidden="false" customHeight="true" outlineLevel="0" collapsed="false">
      <c r="A75" s="16" t="n">
        <f aca="false">20.1797*1.66054E-027</f>
        <v>3.3509199038E-026</v>
      </c>
      <c r="C75" s="0" t="n">
        <f aca="false">9.109 * 10^-28</f>
        <v>9.109E-028</v>
      </c>
      <c r="H75" s="0" t="s">
        <v>46</v>
      </c>
      <c r="O75" s="0" t="s">
        <v>46</v>
      </c>
      <c r="V75" s="0" t="s">
        <v>46</v>
      </c>
      <c r="AC75" s="0" t="s">
        <v>46</v>
      </c>
    </row>
    <row r="76" customFormat="false" ht="12.8" hidden="false" customHeight="true" outlineLevel="0" collapsed="false">
      <c r="H76" s="0" t="n">
        <f aca="false">SQRT(4*PI()*H60*$B$72^2/$C$75)</f>
        <v>13301392297.327</v>
      </c>
      <c r="I76" s="17" t="n">
        <f aca="false">H76/2*J60/100</f>
        <v>280304565.661564</v>
      </c>
      <c r="J76" s="0" t="n">
        <f aca="false">I76/H76*100</f>
        <v>2.10733252125713</v>
      </c>
      <c r="O76" s="0" t="n">
        <f aca="false">SQRT(4*PI()*O60*$B$72^2/$C$75)</f>
        <v>12214178219.5323</v>
      </c>
      <c r="P76" s="17" t="n">
        <f aca="false">O76/2*Q60/100</f>
        <v>219626057.545247</v>
      </c>
      <c r="Q76" s="0" t="n">
        <f aca="false">P76/O76*100</f>
        <v>1.79812389829086</v>
      </c>
      <c r="V76" s="0" t="n">
        <f aca="false">SQRT(4*PI()*V60*$B$72^2/$C$75)</f>
        <v>10518284660.4427</v>
      </c>
      <c r="W76" s="17" t="n">
        <f aca="false">V76/2*X60/100</f>
        <v>91944152.5985674</v>
      </c>
      <c r="X76" s="0" t="n">
        <f aca="false">W76/V76*100</f>
        <v>0.874136378380708</v>
      </c>
      <c r="AC76" s="17" t="n">
        <f aca="false">SQRT(4*PI()*AC60*$B$72^2/$C$75)</f>
        <v>7382062893.10753</v>
      </c>
      <c r="AD76" s="17" t="n">
        <f aca="false">AC76/2*AE60/100</f>
        <v>107049808.249538</v>
      </c>
      <c r="AE76" s="0" t="n">
        <f aca="false">AD76/AC76*100</f>
        <v>1.45013405872616</v>
      </c>
    </row>
    <row r="78" customFormat="false" ht="12.8" hidden="false" customHeight="true" outlineLevel="0" collapsed="false">
      <c r="H78" s="13" t="n">
        <f aca="false">11400000000</f>
        <v>11400000000</v>
      </c>
      <c r="I78" s="13" t="n">
        <f aca="false">154000000</f>
        <v>154000000</v>
      </c>
      <c r="J78" s="1" t="n">
        <f aca="false">I78/H78*100</f>
        <v>1.35087719298246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2025-10-10T10:09:03Z</dcterms:created>
  <dc:creator/>
  <dc:description/>
  <dc:language>ru-RU</dc:language>
  <cp:lastModifiedBy/>
  <dcterms:modified xsi:type="dcterms:W3CDTF">2025-10-12T11:53:27Z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