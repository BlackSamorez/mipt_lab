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<sst xmlns="http://schemas.openxmlformats.org/spreadsheetml/2006/main" count="52" uniqueCount="40">
  <si>
    <t xml:space="preserve">II</t>
  </si>
  <si>
    <t xml:space="preserve">R_2, кОм</t>
  </si>
  <si>
    <t xml:space="preserve">R_1/R_2</t>
  </si>
  <si>
    <t xml:space="preserve">U_0, дел (150)</t>
  </si>
  <si>
    <t xml:space="preserve">U_0, В</t>
  </si>
  <si>
    <t xml:space="preserve">R_0, Ом</t>
  </si>
  <si>
    <t xml:space="preserve">k, нА/мм</t>
  </si>
  <si>
    <t xml:space="preserve">R, кОм</t>
  </si>
  <si>
    <t xml:space="preserve">x, см</t>
  </si>
  <si>
    <t xml:space="preserve">C_I</t>
  </si>
  <si>
    <t xml:space="preserve">I, нА</t>
  </si>
  <si>
    <t xml:space="preserve">n</t>
  </si>
  <si>
    <t xml:space="preserve">погр x, см</t>
  </si>
  <si>
    <t xml:space="preserve">T_11, с</t>
  </si>
  <si>
    <t xml:space="preserve">T_1, с</t>
  </si>
  <si>
    <t xml:space="preserve">погр</t>
  </si>
  <si>
    <t xml:space="preserve">R_кр, кОм</t>
  </si>
  <si>
    <t xml:space="preserve">X_1, см</t>
  </si>
  <si>
    <t xml:space="preserve">X_2, см</t>
  </si>
  <si>
    <t xml:space="preserve">1/|theta^2</t>
  </si>
  <si>
    <t xml:space="preserve">наклон, 1/кОм</t>
  </si>
  <si>
    <t xml:space="preserve">\sigma_1/|theta^2</t>
  </si>
  <si>
    <t xml:space="preserve">(R+R_0)^2, кОм</t>
  </si>
  <si>
    <t xml:space="preserve">l_max_св</t>
  </si>
  <si>
    <t xml:space="preserve">l_кр</t>
  </si>
  <si>
    <t xml:space="preserve">L, м</t>
  </si>
  <si>
    <t xml:space="preserve">l_max, см</t>
  </si>
  <si>
    <t xml:space="preserve">(R+R_0)^-1, кОм^-1</t>
  </si>
  <si>
    <t xml:space="preserve">метод</t>
  </si>
  <si>
    <t xml:space="preserve">\sigma_R_кр</t>
  </si>
  <si>
    <t xml:space="preserve">l_max_кр</t>
  </si>
  <si>
    <t xml:space="preserve">\sigma_l_max_кр</t>
  </si>
  <si>
    <t xml:space="preserve">\varepsilon_l_max_кр</t>
  </si>
  <si>
    <t xml:space="preserve">C_Q_кр, нА/мм/м</t>
  </si>
  <si>
    <t xml:space="preserve">\sigma_C_Q_кр, нА/мм/м</t>
  </si>
  <si>
    <t xml:space="preserve">\varepsilon_C_Q_кр, нА/мм/м</t>
  </si>
  <si>
    <t xml:space="preserve">-41,931</t>
  </si>
  <si>
    <t xml:space="preserve">по декременту</t>
  </si>
  <si>
    <t xml:space="preserve">C, мкФ</t>
  </si>
  <si>
    <t xml:space="preserve">\tau = R_0 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</si>
</sst>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78"/>
  <sheetViews>
    <sheetView showFormulas="false" showGridLines="true" showRowColHeaders="true" showZeros="true" rightToLeft="false" tabSelected="true" showOutlineSymbols="true" defaultGridColor="true" view="normal" topLeftCell="F19" colorId="64" zoomScale="100" zoomScaleNormal="100" zoomScalePageLayoutView="100" workbookViewId="0">
      <selection pane="topLeft" activeCell="V25" activeCellId="0" sqref="V2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H2" s="1" t="s">
        <v>5</v>
      </c>
    </row>
    <row r="3" customFormat="false" ht="12.8" hidden="false" customHeight="false" outlineLevel="0" collapsed="false">
      <c r="B3" s="1" t="n">
        <v>10</v>
      </c>
      <c r="C3" s="1" t="n">
        <f aca="false">1/1000</f>
        <v>0.001</v>
      </c>
      <c r="D3" s="1" t="n">
        <v>66</v>
      </c>
      <c r="E3" s="1" t="n">
        <f aca="false">3*D3/150</f>
        <v>1.32</v>
      </c>
      <c r="F3" s="2" t="n">
        <f aca="false">1/50</f>
        <v>0.02</v>
      </c>
      <c r="G3" s="2" t="n">
        <f aca="false">F3/E3*100</f>
        <v>1.51515151515152</v>
      </c>
      <c r="H3" s="1" t="n">
        <v>500</v>
      </c>
    </row>
    <row r="4" customFormat="false" ht="12.8" hidden="false" customHeight="true" outlineLevel="0" collapsed="false">
      <c r="O4" s="2" t="s">
        <v>6</v>
      </c>
    </row>
    <row r="5" customFormat="false" ht="12.8" hidden="false" customHeight="true" outlineLevel="0" collapsed="false">
      <c r="B5" s="1" t="s">
        <v>7</v>
      </c>
      <c r="C5" s="1" t="n">
        <v>20</v>
      </c>
      <c r="D5" s="1" t="n">
        <v>23</v>
      </c>
      <c r="E5" s="1" t="n">
        <v>26</v>
      </c>
      <c r="F5" s="1" t="n">
        <v>29</v>
      </c>
      <c r="G5" s="1" t="n">
        <v>32</v>
      </c>
      <c r="H5" s="1" t="n">
        <v>35</v>
      </c>
      <c r="I5" s="1" t="n">
        <v>38</v>
      </c>
      <c r="J5" s="1" t="n">
        <v>41</v>
      </c>
      <c r="K5" s="1" t="n">
        <v>44</v>
      </c>
      <c r="L5" s="1" t="n">
        <v>47</v>
      </c>
      <c r="M5" s="1" t="n">
        <v>50</v>
      </c>
      <c r="O5" s="3" t="n">
        <v>0.2537</v>
      </c>
      <c r="P5" s="3" t="n">
        <f aca="false">0.004/10</f>
        <v>0.0004</v>
      </c>
      <c r="Q5" s="2" t="n">
        <f aca="false">P5/O5*100</f>
        <v>0.157666535277887</v>
      </c>
    </row>
    <row r="6" customFormat="false" ht="12.8" hidden="false" customHeight="true" outlineLevel="0" collapsed="false">
      <c r="B6" s="1" t="s">
        <v>8</v>
      </c>
      <c r="C6" s="1" t="n">
        <v>25</v>
      </c>
      <c r="D6" s="1" t="n">
        <v>21.9</v>
      </c>
      <c r="E6" s="1" t="n">
        <v>19.6</v>
      </c>
      <c r="F6" s="1" t="n">
        <v>17.7</v>
      </c>
      <c r="G6" s="1" t="n">
        <v>16.2</v>
      </c>
      <c r="H6" s="1" t="n">
        <v>14.9</v>
      </c>
      <c r="I6" s="1" t="n">
        <v>13.7</v>
      </c>
      <c r="J6" s="1" t="n">
        <v>12.6</v>
      </c>
      <c r="K6" s="1" t="n">
        <v>11.7</v>
      </c>
      <c r="L6" s="1" t="n">
        <v>10.9</v>
      </c>
      <c r="M6" s="1" t="n">
        <v>10.1</v>
      </c>
      <c r="O6" s="2" t="s">
        <v>9</v>
      </c>
    </row>
    <row r="7" customFormat="false" ht="12.8" hidden="false" customHeight="false" outlineLevel="0" collapsed="false">
      <c r="B7" s="1" t="s">
        <v>10</v>
      </c>
      <c r="C7" s="1" t="n">
        <f aca="false">$E$3*$C$3/(C5*1000+$H$3)*10^9</f>
        <v>64.390243902439</v>
      </c>
      <c r="D7" s="1" t="n">
        <f aca="false">$E$3*$C$3/(D5*1000+$H$3)*10^9</f>
        <v>56.1702127659575</v>
      </c>
      <c r="E7" s="1" t="n">
        <f aca="false">$E$3*$C$3/(E5*1000+$H$3)*10^9</f>
        <v>49.811320754717</v>
      </c>
      <c r="F7" s="1" t="n">
        <f aca="false">$E$3*$C$3/(F5*1000+$H$3)*10^9</f>
        <v>44.7457627118644</v>
      </c>
      <c r="G7" s="1" t="n">
        <f aca="false">$E$3*$C$3/(G5*1000+$H$3)*10^9</f>
        <v>40.6153846153846</v>
      </c>
      <c r="H7" s="1" t="n">
        <f aca="false">$E$3*$C$3/(H5*1000+$H$3)*10^9</f>
        <v>37.1830985915493</v>
      </c>
      <c r="I7" s="1" t="n">
        <f aca="false">$E$3*$C$3/(I5*1000+$H$3)*10^9</f>
        <v>34.2857142857143</v>
      </c>
      <c r="J7" s="1" t="n">
        <f aca="false">$E$3*$C$3/(J5*1000+$H$3)*10^9</f>
        <v>31.8072289156626</v>
      </c>
      <c r="K7" s="1" t="n">
        <f aca="false">$E$3*$C$3/(K5*1000+$H$3)*10^9</f>
        <v>29.6629213483146</v>
      </c>
      <c r="L7" s="1" t="n">
        <f aca="false">$E$3*$C$3/(L5*1000+$H$3)*10^9</f>
        <v>27.7894736842105</v>
      </c>
      <c r="M7" s="1" t="n">
        <f aca="false">$E$3*$C$3/(M5*1000+$H$3)*10^9</f>
        <v>26.1386138613861</v>
      </c>
      <c r="O7" s="2" t="n">
        <f aca="false">O5/2/B37</f>
        <v>0.119669811320755</v>
      </c>
      <c r="P7" s="2" t="n">
        <f aca="false">O7*SQRT(Q5^2+D37^2)/100</f>
        <v>0.00114461855322679</v>
      </c>
      <c r="Q7" s="2" t="n">
        <f aca="false">P7/O7*100</f>
        <v>0.956480619960893</v>
      </c>
    </row>
    <row r="8" customFormat="false" ht="12.8" hidden="false" customHeight="false" outlineLevel="0" collapsed="false">
      <c r="C8" s="1"/>
      <c r="J8" s="1"/>
      <c r="AD8" s="1"/>
    </row>
    <row r="9" customFormat="false" ht="12.8" hidden="false" customHeight="false" outlineLevel="0" collapsed="false">
      <c r="B9" s="1" t="s">
        <v>11</v>
      </c>
      <c r="C9" s="1" t="n">
        <v>1</v>
      </c>
      <c r="D9" s="1" t="n">
        <v>2</v>
      </c>
      <c r="E9" s="1" t="n">
        <v>3</v>
      </c>
      <c r="F9" s="1" t="n">
        <v>4</v>
      </c>
      <c r="G9" s="1" t="n">
        <v>5</v>
      </c>
      <c r="H9" s="1" t="n">
        <v>6</v>
      </c>
      <c r="I9" s="1" t="n">
        <v>7</v>
      </c>
      <c r="J9" s="1" t="n">
        <v>8</v>
      </c>
      <c r="K9" s="1" t="n">
        <v>9</v>
      </c>
      <c r="L9" s="1" t="n">
        <v>10</v>
      </c>
      <c r="M9" s="1" t="n">
        <v>11</v>
      </c>
      <c r="AD9" s="1"/>
      <c r="AG9" s="1"/>
    </row>
    <row r="10" customFormat="false" ht="12.8" hidden="false" customHeight="false" outlineLevel="0" collapsed="false">
      <c r="A10" s="1"/>
      <c r="B10" s="1" t="s">
        <v>8</v>
      </c>
      <c r="C10" s="1" t="n">
        <v>19.7</v>
      </c>
      <c r="D10" s="1" t="n">
        <v>16.7</v>
      </c>
      <c r="E10" s="1" t="n">
        <v>12.5</v>
      </c>
      <c r="F10" s="1" t="n">
        <v>9.8</v>
      </c>
      <c r="G10" s="1" t="n">
        <v>8.9</v>
      </c>
      <c r="H10" s="1" t="n">
        <v>6.3</v>
      </c>
      <c r="I10" s="1" t="n">
        <v>5.2</v>
      </c>
      <c r="J10" s="1" t="n">
        <v>4.2</v>
      </c>
      <c r="K10" s="1" t="n">
        <v>3.4</v>
      </c>
      <c r="L10" s="1" t="n">
        <v>2.7</v>
      </c>
      <c r="M10" s="1" t="n">
        <v>2.2</v>
      </c>
      <c r="N10" s="1"/>
      <c r="O10" s="1"/>
      <c r="AD10" s="1"/>
      <c r="AE10" s="1"/>
      <c r="AF10" s="1"/>
      <c r="AG10" s="1"/>
      <c r="AH10" s="1"/>
      <c r="AI10" s="1"/>
    </row>
    <row r="11" customFormat="false" ht="12.8" hidden="false" customHeight="false" outlineLevel="0" collapsed="false">
      <c r="A11" s="1"/>
      <c r="B11" s="1"/>
      <c r="D11" s="1" t="n">
        <f aca="false">LN(C10/D10)</f>
        <v>0.165209916321233</v>
      </c>
      <c r="E11" s="1" t="n">
        <f aca="false">LN(D10/E10)</f>
        <v>0.289680075114454</v>
      </c>
      <c r="F11" s="1" t="n">
        <f aca="false">LN(E10/F10)</f>
        <v>0.243346258631729</v>
      </c>
      <c r="G11" s="1" t="n">
        <f aca="false">LN(F10/G10)</f>
        <v>0.0963311089384321</v>
      </c>
      <c r="H11" s="1" t="n">
        <f aca="false">LN(G10/H10)</f>
        <v>0.345501643340607</v>
      </c>
      <c r="I11" s="1" t="n">
        <f aca="false">LN(H10/I10)</f>
        <v>0.191891007810105</v>
      </c>
      <c r="J11" s="1" t="n">
        <f aca="false">LN(I10/J10)</f>
        <v>0.213574100298059</v>
      </c>
      <c r="K11" s="1" t="n">
        <f aca="false">LN(J10/K10)</f>
        <v>0.211309093667207</v>
      </c>
      <c r="L11" s="1" t="n">
        <f aca="false">LN(K10/L10)</f>
        <v>0.230523658611832</v>
      </c>
      <c r="M11" s="1" t="n">
        <f aca="false">LN(L10/M10)</f>
        <v>0.204794412646013</v>
      </c>
      <c r="N11" s="1"/>
      <c r="O11" s="1"/>
      <c r="AD11" s="1"/>
      <c r="AE11" s="1"/>
      <c r="AF11" s="1"/>
      <c r="AG11" s="1"/>
      <c r="AH11" s="1"/>
      <c r="AI11" s="3"/>
      <c r="AJ11" s="3"/>
      <c r="AK11" s="2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AD12" s="1"/>
      <c r="AE12" s="1"/>
      <c r="AF12" s="2"/>
      <c r="AG12" s="1"/>
      <c r="AH12" s="1"/>
      <c r="AI12" s="1"/>
    </row>
    <row r="13" customFormat="false" ht="12.8" hidden="false" customHeight="false" outlineLevel="0" collapsed="false">
      <c r="A13" s="1"/>
      <c r="B13" s="1" t="s">
        <v>12</v>
      </c>
      <c r="E13" s="1" t="n">
        <f aca="false">LN(C10/M10)/COUNT(C10:L10)</f>
        <v>0.219216127537967</v>
      </c>
      <c r="F13" s="1" t="n">
        <f aca="false">SQRT((1/(C10/M10)*B14*SQRT((1/M10)^2+(C10/M10^2)^2)/10)^2+J13^2)</f>
        <v>0.0231469944636649</v>
      </c>
      <c r="G13" s="1" t="n">
        <f aca="false">F13/E13*100</f>
        <v>10.5589833757354</v>
      </c>
      <c r="H13" s="1"/>
      <c r="I13" s="1" t="n">
        <f aca="false">SUM(D11:M11)/COUNT(D11:M11)</f>
        <v>0.219216127537967</v>
      </c>
      <c r="J13" s="1" t="n">
        <f aca="false">_xlfn.STDEV.S(D11:M11)/SQRT(COUNT(D11:M11))</f>
        <v>0.0212628322629888</v>
      </c>
      <c r="K13" s="1"/>
      <c r="L13" s="1"/>
      <c r="M13" s="1"/>
      <c r="N13" s="1"/>
      <c r="O13" s="1"/>
      <c r="AD13" s="1"/>
      <c r="AE13" s="1"/>
      <c r="AF13" s="1"/>
      <c r="AG13" s="1"/>
      <c r="AH13" s="1"/>
      <c r="AI13" s="1"/>
    </row>
    <row r="14" customFormat="false" ht="12.8" hidden="false" customHeight="false" outlineLevel="0" collapsed="false">
      <c r="A14" s="1"/>
      <c r="B14" s="1" t="n">
        <v>0.2</v>
      </c>
      <c r="E14" s="1" t="s">
        <v>13</v>
      </c>
      <c r="F14" s="1" t="s">
        <v>14</v>
      </c>
      <c r="G14" s="1" t="s">
        <v>15</v>
      </c>
      <c r="H14" s="1"/>
      <c r="I14" s="1"/>
      <c r="J14" s="1"/>
      <c r="K14" s="1"/>
      <c r="L14" s="1"/>
      <c r="M14" s="1"/>
      <c r="N14" s="1"/>
      <c r="O14" s="1"/>
      <c r="AD14" s="1"/>
      <c r="AE14" s="1"/>
      <c r="AF14" s="1"/>
      <c r="AG14" s="1"/>
      <c r="AH14" s="1"/>
      <c r="AI14" s="1"/>
      <c r="AJ14" s="2"/>
      <c r="AK14" s="2"/>
      <c r="AP14" s="2"/>
      <c r="AQ14" s="4"/>
    </row>
    <row r="15" customFormat="false" ht="12.8" hidden="false" customHeight="false" outlineLevel="0" collapsed="false">
      <c r="A15" s="1"/>
      <c r="E15" s="1" t="n">
        <v>49.23</v>
      </c>
      <c r="F15" s="1" t="n">
        <f aca="false">E15/11</f>
        <v>4.47545454545455</v>
      </c>
      <c r="G15" s="1" t="n">
        <f aca="false">0.5 / 11</f>
        <v>0.0454545454545455</v>
      </c>
      <c r="H15" s="1"/>
      <c r="I15" s="1"/>
      <c r="J15" s="1"/>
      <c r="K15" s="1"/>
      <c r="L15" s="1"/>
      <c r="M15" s="1"/>
      <c r="N15" s="1"/>
      <c r="O15" s="1"/>
      <c r="AD15" s="1"/>
      <c r="AE15" s="1"/>
      <c r="AF15" s="1"/>
      <c r="AG15" s="1"/>
      <c r="AH15" s="1"/>
      <c r="AI15" s="1"/>
      <c r="AJ15" s="2"/>
      <c r="AK15" s="2"/>
      <c r="AL15" s="2"/>
    </row>
    <row r="16" customFormat="false" ht="12.8" hidden="false" customHeight="false" outlineLevel="0" collapsed="false">
      <c r="A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AD16" s="1"/>
      <c r="AE16" s="1"/>
      <c r="AF16" s="1"/>
      <c r="AG16" s="1"/>
      <c r="AH16" s="1"/>
      <c r="AI16" s="1"/>
      <c r="AJ16" s="2"/>
      <c r="AK16" s="2"/>
      <c r="AL16" s="2"/>
      <c r="AP16" s="3"/>
    </row>
    <row r="17" customFormat="false" ht="12.8" hidden="false" customHeight="false" outlineLevel="0" collapsed="false">
      <c r="A17" s="1"/>
      <c r="B17" s="1" t="s">
        <v>16</v>
      </c>
      <c r="E17" s="1" t="s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AD17" s="1"/>
      <c r="AE17" s="1"/>
      <c r="AF17" s="1"/>
      <c r="AG17" s="1"/>
      <c r="AH17" s="1"/>
      <c r="AI17" s="1"/>
      <c r="AJ17" s="2"/>
      <c r="AK17" s="2"/>
      <c r="AL17" s="2"/>
    </row>
    <row r="18" customFormat="false" ht="12.8" hidden="false" customHeight="false" outlineLevel="0" collapsed="false">
      <c r="A18" s="1"/>
      <c r="B18" s="1" t="n">
        <v>7.5</v>
      </c>
      <c r="C18" s="2" t="n">
        <v>0.5</v>
      </c>
      <c r="D18" s="2" t="n">
        <f aca="false">C18/B18*100</f>
        <v>6.66666666666667</v>
      </c>
      <c r="E18" s="1" t="n">
        <f aca="false">1/1000</f>
        <v>0.001</v>
      </c>
      <c r="F18" s="1"/>
      <c r="G18" s="1"/>
      <c r="H18" s="1"/>
      <c r="J18" s="1"/>
      <c r="K18" s="1"/>
      <c r="L18" s="1"/>
      <c r="M18" s="1"/>
      <c r="N18" s="1"/>
      <c r="O18" s="1"/>
      <c r="AD18" s="1"/>
      <c r="AE18" s="1"/>
      <c r="AF18" s="1"/>
      <c r="AG18" s="1"/>
      <c r="AH18" s="1"/>
      <c r="AI18" s="1"/>
      <c r="AP18" s="2"/>
      <c r="AQ18" s="2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  <c r="O19" s="1"/>
      <c r="AD19" s="1"/>
      <c r="AE19" s="1"/>
      <c r="AF19" s="1"/>
      <c r="AG19" s="1"/>
      <c r="AH19" s="1"/>
      <c r="AI19" s="1"/>
      <c r="AP19" s="3"/>
      <c r="AQ19" s="3"/>
      <c r="AR19" s="3"/>
    </row>
    <row r="20" customFormat="false" ht="12.8" hidden="false" customHeight="false" outlineLevel="0" collapsed="false">
      <c r="A20" s="1"/>
      <c r="B20" s="1" t="s">
        <v>17</v>
      </c>
      <c r="C20" s="1" t="n">
        <v>6.8</v>
      </c>
      <c r="D20" s="1" t="n">
        <v>6.7</v>
      </c>
      <c r="E20" s="1" t="n">
        <v>6.8</v>
      </c>
      <c r="F20" s="1" t="n">
        <v>10.3</v>
      </c>
      <c r="G20" s="1" t="n">
        <v>9.5</v>
      </c>
      <c r="H20" s="1" t="n">
        <v>13</v>
      </c>
      <c r="I20" s="1" t="n">
        <v>13.7</v>
      </c>
      <c r="J20" s="1"/>
      <c r="K20" s="1"/>
      <c r="L20" s="1"/>
      <c r="M20" s="1"/>
      <c r="N20" s="1"/>
      <c r="O20" s="1"/>
      <c r="AD20" s="1"/>
      <c r="AE20" s="1"/>
      <c r="AF20" s="1"/>
      <c r="AG20" s="1"/>
      <c r="AH20" s="1"/>
      <c r="AI20" s="1"/>
    </row>
    <row r="21" customFormat="false" ht="12.8" hidden="false" customHeight="false" outlineLevel="0" collapsed="false">
      <c r="A21" s="1"/>
      <c r="B21" s="1" t="s">
        <v>18</v>
      </c>
      <c r="C21" s="1" t="n">
        <v>0.7</v>
      </c>
      <c r="D21" s="1" t="n">
        <v>0.9</v>
      </c>
      <c r="E21" s="1" t="n">
        <v>1.2</v>
      </c>
      <c r="F21" s="1" t="n">
        <v>2.5</v>
      </c>
      <c r="G21" s="1" t="n">
        <v>2.9</v>
      </c>
      <c r="H21" s="1" t="n">
        <v>4.5</v>
      </c>
      <c r="I21" s="1" t="n">
        <v>6.2</v>
      </c>
      <c r="J21" s="1"/>
      <c r="K21" s="1"/>
      <c r="L21" s="1"/>
      <c r="M21" s="1"/>
      <c r="N21" s="1"/>
      <c r="O21" s="1"/>
      <c r="AD21" s="1"/>
      <c r="AE21" s="1"/>
      <c r="AF21" s="1"/>
      <c r="AG21" s="1"/>
      <c r="AH21" s="1"/>
      <c r="AI21" s="1"/>
    </row>
    <row r="22" customFormat="false" ht="12.8" hidden="false" customHeight="false" outlineLevel="0" collapsed="false">
      <c r="B22" s="1" t="s">
        <v>7</v>
      </c>
      <c r="C22" s="1" t="n">
        <v>23</v>
      </c>
      <c r="D22" s="1" t="n">
        <v>27</v>
      </c>
      <c r="E22" s="1" t="n">
        <v>31</v>
      </c>
      <c r="F22" s="1" t="n">
        <v>38</v>
      </c>
      <c r="G22" s="1" t="n">
        <v>46</v>
      </c>
      <c r="H22" s="1" t="n">
        <v>53</v>
      </c>
      <c r="I22" s="1" t="n">
        <v>75</v>
      </c>
      <c r="AD22" s="1"/>
      <c r="AF22" s="5"/>
      <c r="AH22" s="2"/>
      <c r="AI22" s="2"/>
    </row>
    <row r="23" customFormat="false" ht="12.8" hidden="false" customHeight="false" outlineLevel="0" collapsed="false">
      <c r="B23" s="1" t="s">
        <v>2</v>
      </c>
      <c r="C23" s="1" t="n">
        <f aca="false">1/1000</f>
        <v>0.001</v>
      </c>
      <c r="D23" s="1" t="n">
        <f aca="false">1/1000</f>
        <v>0.001</v>
      </c>
      <c r="E23" s="1" t="n">
        <f aca="false">1/1000</f>
        <v>0.001</v>
      </c>
      <c r="F23" s="1" t="n">
        <f aca="false">1/500</f>
        <v>0.002</v>
      </c>
      <c r="G23" s="1" t="n">
        <f aca="false">1/500</f>
        <v>0.002</v>
      </c>
      <c r="H23" s="1" t="n">
        <f aca="false">1/300</f>
        <v>0.00333333333333333</v>
      </c>
      <c r="I23" s="1" t="n">
        <f aca="false">1/200</f>
        <v>0.005</v>
      </c>
      <c r="AD23" s="1"/>
    </row>
    <row r="24" customFormat="false" ht="12.8" hidden="false" customHeight="false" outlineLevel="0" collapsed="false">
      <c r="B24" s="2" t="s">
        <v>19</v>
      </c>
      <c r="C24" s="2" t="n">
        <f aca="false">1/(LN(C20/C21)^2)</f>
        <v>0.193451816678823</v>
      </c>
      <c r="D24" s="2" t="n">
        <f aca="false">1/(LN(D20/D21)^2)</f>
        <v>0.248143394849879</v>
      </c>
      <c r="E24" s="2" t="n">
        <f aca="false">1/(LN(E20/E21)^2)</f>
        <v>0.332353906163154</v>
      </c>
      <c r="F24" s="2" t="n">
        <f aca="false">1/(LN(F20/F21)^2)</f>
        <v>0.498842640129033</v>
      </c>
      <c r="G24" s="2" t="n">
        <f aca="false">1/(LN(G20/G21)^2)</f>
        <v>0.710240077336327</v>
      </c>
      <c r="H24" s="2" t="n">
        <f aca="false">1/(LN(H20/H21)^2)</f>
        <v>0.888534014746984</v>
      </c>
      <c r="I24" s="2" t="n">
        <f aca="false">1/(LN(I20/I21)^2)</f>
        <v>1.59082251378463</v>
      </c>
      <c r="K24" s="2" t="s">
        <v>20</v>
      </c>
    </row>
    <row r="25" customFormat="false" ht="12.8" hidden="false" customHeight="false" outlineLevel="0" collapsed="false">
      <c r="B25" s="2" t="s">
        <v>21</v>
      </c>
      <c r="C25" s="2" t="n">
        <f aca="false">1/(C20/C21)*$B$14*SQRT((1/C21)^2+(C20/C21^2)^2)*C24^(3/2)</f>
        <v>0.0244388154697937</v>
      </c>
      <c r="D25" s="2" t="n">
        <f aca="false">1/(D20/D21)*$B$14*SQRT((1/D21)^2+(D20/D21^2)^2)*D24^(3/2)</f>
        <v>0.0277156368862966</v>
      </c>
      <c r="E25" s="2" t="n">
        <f aca="false">1/(E20/E21)*$B$14*SQRT((1/E21)^2+(E20/E21^2)^2)*E24^(3/2)</f>
        <v>0.0324271769463498</v>
      </c>
      <c r="F25" s="2" t="n">
        <f aca="false">1/(F20/F21)*$B$14*SQRT((1/F21)^2+(F20/F21^2)^2)*F24^(3/2)</f>
        <v>0.0290044961574231</v>
      </c>
      <c r="G25" s="2" t="n">
        <f aca="false">1/(G20/G21)*$B$14*SQRT((1/G21)^2+(G20/G21^2)^2)*G24^(3/2)</f>
        <v>0.0431605241791708</v>
      </c>
      <c r="H25" s="2" t="n">
        <f aca="false">1/(H20/H21)*$B$14*SQRT((1/H21)^2+(H20/H21^2)^2)*H24^(3/2)</f>
        <v>0.0393915582328418</v>
      </c>
      <c r="I25" s="2" t="n">
        <f aca="false">1/(I20/I21)*$B$14*SQRT((1/I21)^2+(I20/I21^2)^2)*I24^(3/2)</f>
        <v>0.0710443300669637</v>
      </c>
      <c r="K25" s="2" t="n">
        <v>0.000286</v>
      </c>
      <c r="L25" s="2" t="n">
        <v>1.2E-005</v>
      </c>
      <c r="M25" s="2" t="n">
        <f aca="false">L25/K25*100</f>
        <v>4.1958041958042</v>
      </c>
    </row>
    <row r="26" customFormat="false" ht="12.8" hidden="false" customHeight="false" outlineLevel="0" collapsed="false">
      <c r="B26" s="2" t="s">
        <v>22</v>
      </c>
      <c r="C26" s="2" t="n">
        <f aca="false">(C22+$H$3/1000)^2</f>
        <v>552.25</v>
      </c>
      <c r="D26" s="2" t="n">
        <f aca="false">(D22+$H$3/1000)^2</f>
        <v>756.25</v>
      </c>
      <c r="E26" s="2" t="n">
        <f aca="false">(E22+$H$3/1000)^2</f>
        <v>992.25</v>
      </c>
      <c r="F26" s="2" t="n">
        <f aca="false">(F22+$H$3/1000)^2</f>
        <v>1482.25</v>
      </c>
      <c r="G26" s="2" t="n">
        <f aca="false">(G22+$H$3/1000)^2</f>
        <v>2162.25</v>
      </c>
      <c r="H26" s="2" t="n">
        <f aca="false">(H22+$H$3/1000)^2</f>
        <v>2862.25</v>
      </c>
      <c r="I26" s="2" t="n">
        <f aca="false">(I22+$H$3/1000)^2</f>
        <v>5700.25</v>
      </c>
      <c r="AD26" s="1"/>
      <c r="AE26" s="1"/>
    </row>
    <row r="27" customFormat="false" ht="12.8" hidden="false" customHeight="false" outlineLevel="0" collapsed="false">
      <c r="K27" s="2" t="s">
        <v>16</v>
      </c>
      <c r="AD27" s="1"/>
      <c r="AE27" s="1"/>
    </row>
    <row r="28" customFormat="false" ht="12.8" hidden="false" customHeight="false" outlineLevel="0" collapsed="false">
      <c r="K28" s="2" t="n">
        <f aca="false">1/2/PI()*SQRT(1/K25)-H3/1000</f>
        <v>8.91102907331747</v>
      </c>
      <c r="L28" s="2" t="n">
        <f aca="false">1/2/PI()*SQRT(1/K25^3)*L25/2</f>
        <v>0.197434176363304</v>
      </c>
      <c r="M28" s="2" t="n">
        <f aca="false">L28/K28*100</f>
        <v>2.21561589283202</v>
      </c>
      <c r="AD28" s="1"/>
      <c r="AE28" s="1"/>
      <c r="AH28" s="2"/>
    </row>
    <row r="29" customFormat="false" ht="12.8" hidden="false" customHeight="false" outlineLevel="0" collapsed="false">
      <c r="AD29" s="1"/>
      <c r="AE29" s="1"/>
      <c r="AH29" s="2"/>
      <c r="AI29" s="2"/>
      <c r="AJ29" s="2"/>
    </row>
    <row r="30" customFormat="false" ht="12.65" hidden="false" customHeight="true" outlineLevel="0" collapsed="false">
      <c r="AD30" s="1"/>
      <c r="AE30" s="1"/>
    </row>
    <row r="31" customFormat="false" ht="12.8" hidden="false" customHeight="false" outlineLevel="0" collapsed="false">
      <c r="AD31" s="1"/>
      <c r="AE31" s="1"/>
      <c r="AH31" s="2"/>
    </row>
    <row r="32" customFormat="false" ht="12.8" hidden="false" customHeight="false" outlineLevel="0" collapsed="false">
      <c r="AD32" s="1"/>
      <c r="AE32" s="1"/>
      <c r="AH32" s="2"/>
    </row>
    <row r="33" customFormat="false" ht="12.8" hidden="false" customHeight="false" outlineLevel="0" collapsed="false">
      <c r="P33" s="1"/>
      <c r="Q33" s="1"/>
      <c r="W33" s="1"/>
      <c r="X33" s="1"/>
      <c r="AD33" s="1"/>
      <c r="AE33" s="1"/>
    </row>
    <row r="34" customFormat="false" ht="12.8" hidden="false" customHeight="false" outlineLevel="0" collapsed="false">
      <c r="P34" s="1"/>
      <c r="Q34" s="1"/>
      <c r="W34" s="1"/>
      <c r="X34" s="1"/>
      <c r="AD34" s="1"/>
      <c r="AE34" s="1"/>
    </row>
    <row r="35" customFormat="false" ht="12.8" hidden="false" customHeight="false" outlineLevel="0" collapsed="false">
      <c r="A35" s="1"/>
      <c r="L35" s="2" t="s">
        <v>23</v>
      </c>
      <c r="M35" s="2" t="s">
        <v>24</v>
      </c>
      <c r="P35" s="1"/>
      <c r="Q35" s="1"/>
      <c r="W35" s="1"/>
      <c r="X35" s="1"/>
      <c r="AD35" s="1"/>
      <c r="AE35" s="1"/>
    </row>
    <row r="36" customFormat="false" ht="12.8" hidden="false" customHeight="false" outlineLevel="0" collapsed="false">
      <c r="A36" s="1"/>
      <c r="B36" s="1" t="s">
        <v>25</v>
      </c>
      <c r="C36" s="1" t="s">
        <v>15</v>
      </c>
      <c r="F36" s="1" t="s">
        <v>7</v>
      </c>
      <c r="G36" s="1" t="n">
        <v>50</v>
      </c>
      <c r="L36" s="2" t="n">
        <f aca="false">G37*EXP(E13/4)</f>
        <v>19.0140045603909</v>
      </c>
      <c r="M36" s="2" t="n">
        <f aca="false">L36/EXP(1)</f>
        <v>6.99486137210786</v>
      </c>
      <c r="N36" s="2" t="n">
        <f aca="false">J43/(M36-J44)-H3/1000</f>
        <v>4.15220848487118</v>
      </c>
      <c r="P36" s="1"/>
      <c r="Q36" s="1"/>
      <c r="W36" s="1"/>
      <c r="X36" s="1"/>
      <c r="AD36" s="1"/>
      <c r="AE36" s="1"/>
    </row>
    <row r="37" customFormat="false" ht="12.8" hidden="false" customHeight="false" outlineLevel="0" collapsed="false">
      <c r="A37" s="1"/>
      <c r="B37" s="1" t="n">
        <v>1.06</v>
      </c>
      <c r="C37" s="1" t="n">
        <v>0.01</v>
      </c>
      <c r="D37" s="1" t="n">
        <f aca="false">C37/B37*100</f>
        <v>0.943396226415094</v>
      </c>
      <c r="F37" s="1" t="s">
        <v>26</v>
      </c>
      <c r="G37" s="1" t="n">
        <v>18</v>
      </c>
      <c r="I37" s="2" t="n">
        <f aca="false">G37*EXP(E13/4)</f>
        <v>19.0140045603909</v>
      </c>
      <c r="J37" s="1"/>
      <c r="K37" s="1"/>
      <c r="L37" s="2" t="n">
        <f aca="false">EXP(E13/4)*SQRT(0.1^2+(G37*F13/4)^3)</f>
        <v>0.111442500934107</v>
      </c>
      <c r="M37" s="2" t="n">
        <f aca="false">L37/EXP(1)</f>
        <v>0.0409974049663874</v>
      </c>
      <c r="N37" s="2" t="n">
        <f aca="false">SQRT((K43/(M36-J44))^2+(J43*M37/(M36-J44)^2)^2+(J43*K44/(M36-J44)^2)^2)</f>
        <v>0.0559153584911942</v>
      </c>
      <c r="P37" s="1"/>
      <c r="Q37" s="1"/>
      <c r="W37" s="1"/>
      <c r="X37" s="1"/>
      <c r="AD37" s="1"/>
      <c r="AE37" s="1"/>
    </row>
    <row r="38" customFormat="false" ht="12.8" hidden="false" customHeight="false" outlineLevel="0" collapsed="false">
      <c r="C38" s="1"/>
      <c r="D38" s="1"/>
      <c r="F38" s="2" t="s">
        <v>27</v>
      </c>
      <c r="G38" s="2" t="n">
        <f aca="false">1/(G36+$H$3/1000)</f>
        <v>0.0198019801980198</v>
      </c>
      <c r="I38" s="2" t="n">
        <f aca="false">I37/EXP(1)</f>
        <v>6.99486137210786</v>
      </c>
      <c r="J38" s="1"/>
      <c r="K38" s="1"/>
      <c r="L38" s="2" t="n">
        <f aca="false">L37/L36*100</f>
        <v>0.586107469261154</v>
      </c>
      <c r="M38" s="2" t="n">
        <f aca="false">M37/M36*100</f>
        <v>0.586107469261154</v>
      </c>
      <c r="N38" s="2" t="n">
        <f aca="false">N37/N36*100</f>
        <v>1.34664140047219</v>
      </c>
      <c r="P38" s="1"/>
      <c r="Q38" s="1"/>
      <c r="W38" s="1"/>
      <c r="X38" s="1"/>
      <c r="AD38" s="1"/>
      <c r="AE38" s="1"/>
    </row>
    <row r="39" customFormat="false" ht="12.8" hidden="false" customHeight="false" outlineLevel="0" collapsed="false">
      <c r="B39" s="1" t="s">
        <v>2</v>
      </c>
      <c r="C39" s="1"/>
      <c r="D39" s="1"/>
      <c r="J39" s="1"/>
      <c r="K39" s="1"/>
      <c r="P39" s="1"/>
      <c r="Q39" s="1"/>
      <c r="W39" s="1"/>
      <c r="X39" s="1"/>
      <c r="AD39" s="1"/>
      <c r="AE39" s="1"/>
    </row>
    <row r="40" customFormat="false" ht="12.8" hidden="false" customHeight="false" outlineLevel="0" collapsed="false">
      <c r="B40" s="1" t="n">
        <f aca="false">1/40</f>
        <v>0.025</v>
      </c>
      <c r="C40" s="1"/>
      <c r="D40" s="1"/>
      <c r="J40" s="1"/>
      <c r="K40" s="1"/>
      <c r="P40" s="1"/>
      <c r="Q40" s="1"/>
      <c r="W40" s="1"/>
      <c r="X40" s="1"/>
      <c r="AD40" s="1"/>
      <c r="AE40" s="1"/>
    </row>
    <row r="41" customFormat="false" ht="12.8" hidden="false" customHeight="false" outlineLevel="0" collapsed="false">
      <c r="C41" s="1"/>
      <c r="D41" s="1"/>
      <c r="J41" s="1"/>
      <c r="K41" s="1"/>
      <c r="P41" s="1"/>
      <c r="Q41" s="1"/>
      <c r="W41" s="1"/>
      <c r="X41" s="1"/>
      <c r="AD41" s="1"/>
      <c r="AE41" s="1"/>
    </row>
    <row r="42" customFormat="false" ht="12.8" hidden="false" customHeight="false" outlineLevel="0" collapsed="false">
      <c r="B42" s="1" t="s">
        <v>7</v>
      </c>
      <c r="C42" s="1" t="n">
        <v>40</v>
      </c>
      <c r="D42" s="1" t="n">
        <v>30</v>
      </c>
      <c r="E42" s="1" t="n">
        <v>20</v>
      </c>
      <c r="F42" s="1" t="n">
        <v>10</v>
      </c>
      <c r="G42" s="2" t="n">
        <v>5</v>
      </c>
      <c r="H42" s="2" t="n">
        <v>3</v>
      </c>
      <c r="J42" s="1"/>
      <c r="K42" s="1"/>
      <c r="N42" s="2" t="s">
        <v>28</v>
      </c>
      <c r="O42" s="2" t="s">
        <v>16</v>
      </c>
      <c r="P42" s="2" t="s">
        <v>29</v>
      </c>
      <c r="Q42" s="1" t="s">
        <v>30</v>
      </c>
      <c r="R42" s="1" t="s">
        <v>31</v>
      </c>
      <c r="S42" s="2" t="s">
        <v>32</v>
      </c>
      <c r="T42" s="2" t="s">
        <v>33</v>
      </c>
      <c r="U42" s="2" t="s">
        <v>34</v>
      </c>
      <c r="V42" s="2" t="s">
        <v>35</v>
      </c>
      <c r="W42" s="1"/>
      <c r="X42" s="1"/>
      <c r="AD42" s="1"/>
      <c r="AE42" s="1"/>
    </row>
    <row r="43" customFormat="false" ht="12.8" hidden="false" customHeight="false" outlineLevel="0" collapsed="false">
      <c r="B43" s="1" t="s">
        <v>27</v>
      </c>
      <c r="C43" s="1" t="n">
        <f aca="false">1/(C42+$H$3/1000)</f>
        <v>0.0246913580246914</v>
      </c>
      <c r="D43" s="1" t="n">
        <f aca="false">1/(D42+$H$3/1000)</f>
        <v>0.0327868852459016</v>
      </c>
      <c r="E43" s="1" t="n">
        <f aca="false">1/(E42+$H$3/1000)</f>
        <v>0.0487804878048781</v>
      </c>
      <c r="F43" s="1" t="n">
        <f aca="false">1/(F42+$H$3/1000)</f>
        <v>0.0952380952380952</v>
      </c>
      <c r="G43" s="1" t="n">
        <f aca="false">1/(G42+$H$3/1000)</f>
        <v>0.181818181818182</v>
      </c>
      <c r="H43" s="1" t="n">
        <f aca="false">1/(H42+$H$3/1000)</f>
        <v>0.285714285714286</v>
      </c>
      <c r="J43" s="3" t="s">
        <v>36</v>
      </c>
      <c r="K43" s="3" t="n">
        <v>0.396</v>
      </c>
      <c r="L43" s="2" t="n">
        <f aca="false">ABS(K43/J43*100)</f>
        <v>0.94440867138871</v>
      </c>
      <c r="N43" s="2" t="n">
        <v>1</v>
      </c>
      <c r="O43" s="2" t="n">
        <f aca="false">B18</f>
        <v>7.5</v>
      </c>
      <c r="P43" s="2" t="n">
        <f aca="false">C18</f>
        <v>0.5</v>
      </c>
      <c r="Q43" s="6" t="n">
        <v>9.131</v>
      </c>
      <c r="R43" s="2" t="n">
        <f aca="false">0.457</f>
        <v>0.457</v>
      </c>
      <c r="S43" s="2" t="n">
        <f aca="false">R43/Q43*100</f>
        <v>5.00492826634542</v>
      </c>
      <c r="T43" s="1" t="n">
        <f aca="false">2*$B$37*$B$40*$E$3*$B$48/10^6/Q43/10*10^9</f>
        <v>1.5323622823349</v>
      </c>
      <c r="U43" s="2" t="n">
        <f aca="false">T43*SQRT(S43^2+$D$37^2+$G$3^2)/100</f>
        <v>0.081424528730629</v>
      </c>
      <c r="V43" s="2" t="n">
        <f aca="false">U43/T43*100</f>
        <v>5.31366046197379</v>
      </c>
      <c r="W43" s="1"/>
      <c r="X43" s="1"/>
      <c r="AD43" s="1"/>
      <c r="AE43" s="1"/>
    </row>
    <row r="44" customFormat="false" ht="12.8" hidden="false" customHeight="false" outlineLevel="0" collapsed="false">
      <c r="B44" s="1" t="s">
        <v>26</v>
      </c>
      <c r="C44" s="1" t="n">
        <v>15.4</v>
      </c>
      <c r="D44" s="1" t="n">
        <v>14.4</v>
      </c>
      <c r="E44" s="2" t="n">
        <v>13</v>
      </c>
      <c r="F44" s="2" t="n">
        <v>10.7</v>
      </c>
      <c r="G44" s="2" t="n">
        <v>7</v>
      </c>
      <c r="H44" s="2" t="n">
        <v>5.5</v>
      </c>
      <c r="J44" s="3" t="n">
        <v>16.008</v>
      </c>
      <c r="K44" s="3" t="n">
        <v>0.053</v>
      </c>
      <c r="L44" s="2" t="n">
        <f aca="false">ABS(K44/J44*100)</f>
        <v>0.331084457771114</v>
      </c>
      <c r="N44" s="2" t="n">
        <v>2</v>
      </c>
      <c r="O44" s="2" t="n">
        <f aca="false">K28</f>
        <v>8.91102907331747</v>
      </c>
      <c r="P44" s="2" t="n">
        <f aca="false">L28</f>
        <v>0.197434176363304</v>
      </c>
      <c r="Q44" s="1" t="n">
        <f aca="false">9.894</f>
        <v>9.894</v>
      </c>
      <c r="R44" s="6" t="n">
        <v>0.461</v>
      </c>
      <c r="S44" s="2" t="n">
        <f aca="false">R44/Q44*100</f>
        <v>4.65938952900748</v>
      </c>
      <c r="T44" s="1" t="n">
        <f aca="false">2*$B$37*$B$40*$E$3*$B$48/10^6/Q44/10*10^9</f>
        <v>1.41419041843542</v>
      </c>
      <c r="U44" s="2" t="n">
        <f aca="false">T44*SQRT(S44^2+$D$37^2+$G$3^2)/100</f>
        <v>0.0705617127047709</v>
      </c>
      <c r="V44" s="2" t="n">
        <f aca="false">U44/T44*100</f>
        <v>4.98954820969842</v>
      </c>
      <c r="W44" s="1"/>
      <c r="X44" s="1"/>
      <c r="AD44" s="1"/>
      <c r="AE44" s="1"/>
    </row>
    <row r="45" customFormat="false" ht="12.8" hidden="false" customHeight="false" outlineLevel="0" collapsed="false">
      <c r="I45" s="1"/>
      <c r="J45" s="1"/>
      <c r="N45" s="2" t="n">
        <v>3</v>
      </c>
      <c r="O45" s="6" t="n">
        <v>4.21</v>
      </c>
      <c r="P45" s="6" t="n">
        <v>0.32</v>
      </c>
      <c r="Q45" s="1" t="n">
        <f aca="false">6.638</f>
        <v>6.638</v>
      </c>
      <c r="R45" s="6" t="n">
        <v>0.178</v>
      </c>
      <c r="S45" s="2" t="n">
        <f aca="false">R45/Q45*100</f>
        <v>2.68153058150045</v>
      </c>
      <c r="T45" s="1" t="n">
        <f aca="false">2*$B$37*$B$40*$E$3*$B$48/10^6/Q45/10*10^9</f>
        <v>2.10786381440193</v>
      </c>
      <c r="U45" s="2" t="n">
        <f aca="false">T45*SQRT(S45^2+$D$37^2+$G$3^2)/100</f>
        <v>0.0678990240914806</v>
      </c>
      <c r="V45" s="2" t="n">
        <f aca="false">U45/T45*100</f>
        <v>3.22122442766758</v>
      </c>
      <c r="W45" s="1"/>
      <c r="X45" s="1"/>
      <c r="AD45" s="1"/>
      <c r="AE45" s="1"/>
    </row>
    <row r="46" customFormat="false" ht="12.8" hidden="false" customHeight="false" outlineLevel="0" collapsed="false">
      <c r="C46" s="1"/>
      <c r="D46" s="1"/>
      <c r="I46" s="1"/>
      <c r="J46" s="1"/>
      <c r="N46" s="0" t="s">
        <v>37</v>
      </c>
      <c r="O46" s="6" t="n">
        <v>4.588</v>
      </c>
      <c r="P46" s="6" t="n">
        <v>0.487</v>
      </c>
      <c r="Q46" s="1" t="n">
        <f aca="false">M36</f>
        <v>6.99486137210786</v>
      </c>
      <c r="R46" s="0" t="n">
        <f aca="false">M37</f>
        <v>0.0409974049663874</v>
      </c>
      <c r="S46" s="0" t="n">
        <f aca="false">M38</f>
        <v>0.586107469261154</v>
      </c>
      <c r="T46" s="0" t="n">
        <f aca="false">2*$B$37*$B$40*$E$3*$B$48/10^6/M36/10*10^9</f>
        <v>2.00032556124605</v>
      </c>
      <c r="U46" s="2" t="n">
        <f aca="false">T46*SQRT(S46^2+$D$37^2+$G$3^2)/100</f>
        <v>0.0375784597049366</v>
      </c>
      <c r="V46" s="2" t="n">
        <f aca="false">U46/T46*100</f>
        <v>1.87861718277139</v>
      </c>
      <c r="W46" s="1"/>
      <c r="X46" s="1"/>
      <c r="AD46" s="1"/>
      <c r="AE46" s="1"/>
    </row>
    <row r="47" customFormat="false" ht="12.8" hidden="false" customHeight="false" outlineLevel="0" collapsed="false">
      <c r="B47" s="1" t="s">
        <v>38</v>
      </c>
      <c r="C47" s="7"/>
      <c r="D47" s="1"/>
      <c r="I47" s="1"/>
      <c r="J47" s="3" t="n">
        <v>3.64</v>
      </c>
      <c r="K47" s="3" t="n">
        <v>0.04</v>
      </c>
      <c r="L47" s="2" t="n">
        <f aca="false">ABS(K47/J47*100)</f>
        <v>1.0989010989011</v>
      </c>
      <c r="P47" s="1"/>
      <c r="Q47" s="1"/>
      <c r="W47" s="1"/>
      <c r="X47" s="1"/>
      <c r="AD47" s="1"/>
      <c r="AE47" s="1"/>
    </row>
    <row r="48" customFormat="false" ht="12.8" hidden="false" customHeight="false" outlineLevel="0" collapsed="false">
      <c r="B48" s="7" t="n">
        <v>2</v>
      </c>
      <c r="C48" s="1"/>
      <c r="D48" s="1"/>
      <c r="I48" s="1"/>
      <c r="J48" s="1"/>
      <c r="W48" s="1"/>
      <c r="X48" s="1"/>
      <c r="AD48" s="1"/>
      <c r="AE48" s="1"/>
    </row>
    <row r="49" customFormat="false" ht="12.8" hidden="false" customHeight="true" outlineLevel="0" collapsed="false">
      <c r="I49" s="1"/>
      <c r="J49" s="1"/>
    </row>
    <row r="50" customFormat="false" ht="12.8" hidden="false" customHeight="false" outlineLevel="0" collapsed="false">
      <c r="B50" s="1" t="s">
        <v>39</v>
      </c>
      <c r="C50" s="1"/>
      <c r="D50" s="1"/>
      <c r="E50" s="1"/>
      <c r="F50" s="1"/>
      <c r="G50" s="1"/>
      <c r="H50" s="1"/>
      <c r="I50" s="1"/>
      <c r="J50" s="1"/>
      <c r="K50" s="1"/>
      <c r="L50" s="1"/>
      <c r="N50" s="8"/>
      <c r="O50" s="9"/>
      <c r="P50" s="10"/>
      <c r="Q50" s="10"/>
      <c r="R50" s="10"/>
      <c r="S50" s="11"/>
      <c r="T50" s="12"/>
      <c r="U50" s="8"/>
      <c r="V50" s="9"/>
      <c r="W50" s="10"/>
      <c r="X50" s="10"/>
      <c r="Y50" s="10"/>
      <c r="Z50" s="11"/>
      <c r="AA50" s="12"/>
      <c r="AB50" s="8"/>
      <c r="AC50" s="9"/>
      <c r="AD50" s="10"/>
      <c r="AE50" s="10"/>
      <c r="AF50" s="10"/>
      <c r="AG50" s="11"/>
      <c r="AH50" s="12"/>
      <c r="AI50" s="8"/>
    </row>
    <row r="51" customFormat="false" ht="12.8" hidden="false" customHeight="false" outlineLevel="0" collapsed="false">
      <c r="B51" s="1" t="n">
        <f aca="false">B48*H3/10^6</f>
        <v>0.001</v>
      </c>
      <c r="C51" s="1"/>
      <c r="D51" s="1"/>
      <c r="E51" s="1"/>
      <c r="F51" s="1"/>
      <c r="G51" s="1"/>
      <c r="H51" s="1"/>
      <c r="I51" s="1"/>
      <c r="J51" s="1"/>
      <c r="K51" s="2"/>
      <c r="L51" s="2"/>
      <c r="N51" s="13"/>
      <c r="O51" s="14"/>
      <c r="P51" s="7"/>
      <c r="Q51" s="7"/>
      <c r="R51" s="13"/>
      <c r="S51" s="7"/>
      <c r="T51" s="7"/>
      <c r="U51" s="13"/>
      <c r="V51" s="14"/>
      <c r="W51" s="7"/>
      <c r="X51" s="7"/>
      <c r="Y51" s="13"/>
      <c r="Z51" s="7"/>
      <c r="AA51" s="7"/>
      <c r="AB51" s="13"/>
      <c r="AC51" s="14"/>
      <c r="AD51" s="7"/>
      <c r="AE51" s="7"/>
      <c r="AF51" s="13"/>
      <c r="AG51" s="7"/>
      <c r="AH51" s="7"/>
      <c r="AI51" s="13"/>
    </row>
    <row r="52" customFormat="false" ht="12.8" hidden="false" customHeight="false" outlineLevel="0" collapsed="false">
      <c r="I52" s="1"/>
      <c r="J52" s="1"/>
      <c r="N52" s="13"/>
      <c r="O52" s="14"/>
      <c r="P52" s="7"/>
      <c r="Q52" s="7"/>
      <c r="R52" s="13"/>
      <c r="S52" s="7"/>
      <c r="T52" s="7"/>
      <c r="U52" s="13"/>
      <c r="V52" s="14"/>
      <c r="W52" s="7"/>
      <c r="X52" s="7"/>
      <c r="Y52" s="13"/>
      <c r="Z52" s="7"/>
      <c r="AA52" s="7"/>
      <c r="AB52" s="13"/>
      <c r="AC52" s="14"/>
      <c r="AD52" s="7"/>
      <c r="AE52" s="7"/>
      <c r="AF52" s="13"/>
      <c r="AG52" s="7"/>
      <c r="AH52" s="7"/>
      <c r="AI52" s="13"/>
    </row>
    <row r="53" customFormat="false" ht="12.8" hidden="false" customHeight="false" outlineLevel="0" collapsed="false">
      <c r="I53" s="1"/>
      <c r="J53" s="1"/>
      <c r="N53" s="15"/>
      <c r="O53" s="16"/>
      <c r="P53" s="17"/>
      <c r="Q53" s="17"/>
      <c r="R53" s="15"/>
      <c r="S53" s="17"/>
      <c r="T53" s="17"/>
      <c r="U53" s="15"/>
      <c r="V53" s="16"/>
      <c r="W53" s="17"/>
      <c r="X53" s="17"/>
      <c r="Y53" s="15"/>
      <c r="Z53" s="17"/>
      <c r="AA53" s="17"/>
      <c r="AB53" s="15"/>
      <c r="AC53" s="16"/>
      <c r="AD53" s="17"/>
      <c r="AE53" s="17"/>
      <c r="AF53" s="15"/>
      <c r="AG53" s="17"/>
      <c r="AH53" s="17"/>
      <c r="AI53" s="15"/>
    </row>
    <row r="55" customFormat="false" ht="12.8" hidden="false" customHeight="false" outlineLevel="0" collapsed="false">
      <c r="H55" s="1"/>
      <c r="I55" s="1"/>
      <c r="O55" s="1"/>
      <c r="P55" s="1"/>
      <c r="V55" s="1"/>
      <c r="W55" s="1"/>
      <c r="AC55" s="1"/>
      <c r="AD55" s="1"/>
    </row>
    <row r="56" customFormat="false" ht="12.8" hidden="false" customHeight="false" outlineLevel="0" collapsed="false">
      <c r="H56" s="1"/>
      <c r="I56" s="1"/>
      <c r="J56" s="1"/>
      <c r="O56" s="1"/>
      <c r="P56" s="1"/>
      <c r="Q56" s="1"/>
      <c r="V56" s="1"/>
      <c r="W56" s="1"/>
      <c r="X56" s="1"/>
      <c r="AC56" s="1"/>
      <c r="AD56" s="1"/>
      <c r="AE56" s="1"/>
    </row>
    <row r="57" customFormat="false" ht="12.8" hidden="false" customHeight="false" outlineLevel="0" collapsed="false">
      <c r="H57" s="1"/>
      <c r="I57" s="1"/>
      <c r="J57" s="1"/>
      <c r="O57" s="1"/>
      <c r="P57" s="1"/>
      <c r="Q57" s="1"/>
      <c r="V57" s="1"/>
      <c r="W57" s="1"/>
      <c r="X57" s="1"/>
      <c r="AC57" s="1"/>
      <c r="AD57" s="1"/>
      <c r="AE57" s="1"/>
    </row>
    <row r="59" customFormat="false" ht="12.8" hidden="false" customHeight="false" outlineLevel="0" collapsed="false">
      <c r="H59" s="1"/>
      <c r="O59" s="1"/>
      <c r="V59" s="1"/>
      <c r="AC59" s="1"/>
    </row>
    <row r="60" customFormat="false" ht="12.8" hidden="false" customHeight="false" outlineLevel="0" collapsed="false">
      <c r="H60" s="18"/>
      <c r="I60" s="18"/>
      <c r="J60" s="1"/>
      <c r="O60" s="18"/>
      <c r="P60" s="18"/>
      <c r="Q60" s="1"/>
      <c r="V60" s="18"/>
      <c r="W60" s="18"/>
      <c r="X60" s="1"/>
      <c r="AC60" s="18"/>
      <c r="AD60" s="18"/>
      <c r="AE60" s="1"/>
    </row>
    <row r="62" customFormat="false" ht="12.8" hidden="false" customHeight="false" outlineLevel="0" collapsed="false">
      <c r="H62" s="1"/>
      <c r="O62" s="1"/>
      <c r="V62" s="1"/>
      <c r="AC62" s="1"/>
    </row>
    <row r="63" customFormat="false" ht="12.8" hidden="false" customHeight="false" outlineLevel="0" collapsed="false">
      <c r="H63" s="1"/>
      <c r="I63" s="1"/>
      <c r="J63" s="1"/>
      <c r="O63" s="1"/>
      <c r="P63" s="1"/>
      <c r="Q63" s="1"/>
      <c r="V63" s="1"/>
      <c r="W63" s="1"/>
      <c r="X63" s="1"/>
      <c r="AC63" s="1"/>
      <c r="AD63" s="1"/>
      <c r="AE63" s="1"/>
    </row>
    <row r="66" customFormat="false" ht="12.8" hidden="false" customHeight="false" outlineLevel="0" collapsed="false">
      <c r="H66" s="1"/>
      <c r="O66" s="1"/>
      <c r="V66" s="1"/>
      <c r="AC66" s="1"/>
    </row>
    <row r="67" customFormat="false" ht="12.8" hidden="false" customHeight="false" outlineLevel="0" collapsed="false">
      <c r="H67" s="1"/>
      <c r="I67" s="1"/>
      <c r="J67" s="1"/>
      <c r="O67" s="1"/>
      <c r="P67" s="1"/>
      <c r="Q67" s="1"/>
      <c r="V67" s="1"/>
      <c r="W67" s="1"/>
      <c r="X67" s="1"/>
      <c r="AC67" s="1"/>
      <c r="AD67" s="1"/>
      <c r="AE67" s="1"/>
    </row>
    <row r="69" customFormat="false" ht="12.8" hidden="false" customHeight="true" outlineLevel="0" collapsed="false">
      <c r="H69" s="1"/>
      <c r="O69" s="1"/>
      <c r="V69" s="1"/>
      <c r="AC69" s="1"/>
    </row>
    <row r="70" customFormat="false" ht="12.8" hidden="false" customHeight="true" outlineLevel="0" collapsed="false">
      <c r="A70" s="1"/>
      <c r="B70" s="1"/>
      <c r="C70" s="1"/>
      <c r="D70" s="1"/>
      <c r="E70" s="1"/>
      <c r="H70" s="1"/>
      <c r="I70" s="1"/>
      <c r="J70" s="1"/>
      <c r="O70" s="1"/>
      <c r="P70" s="1"/>
      <c r="Q70" s="1"/>
      <c r="V70" s="1"/>
      <c r="W70" s="1"/>
      <c r="X70" s="1"/>
      <c r="AC70" s="1"/>
      <c r="AD70" s="1"/>
      <c r="AE70" s="1"/>
    </row>
    <row r="71" customFormat="false" ht="12.8" hidden="false" customHeight="true" outlineLevel="0" collapsed="false">
      <c r="A71" s="19"/>
      <c r="B71" s="7"/>
      <c r="C71" s="3"/>
      <c r="D71" s="1"/>
      <c r="E71" s="1"/>
    </row>
    <row r="72" customFormat="false" ht="12.8" hidden="false" customHeight="true" outlineLevel="0" collapsed="false">
      <c r="A72" s="19"/>
      <c r="B72" s="1"/>
      <c r="H72" s="1"/>
      <c r="O72" s="1"/>
      <c r="V72" s="1"/>
      <c r="AC72" s="1"/>
    </row>
    <row r="73" customFormat="false" ht="12.8" hidden="false" customHeight="true" outlineLevel="0" collapsed="false">
      <c r="H73" s="1"/>
      <c r="I73" s="1"/>
      <c r="J73" s="1"/>
      <c r="O73" s="1"/>
      <c r="P73" s="1"/>
      <c r="Q73" s="1"/>
      <c r="V73" s="1"/>
      <c r="W73" s="1"/>
      <c r="X73" s="1"/>
      <c r="AC73" s="1"/>
      <c r="AD73" s="1"/>
      <c r="AE73" s="1"/>
    </row>
    <row r="74" customFormat="false" ht="12.8" hidden="false" customHeight="true" outlineLevel="0" collapsed="false">
      <c r="A74" s="1"/>
      <c r="C74" s="1"/>
    </row>
    <row r="75" customFormat="false" ht="12.8" hidden="false" customHeight="true" outlineLevel="0" collapsed="false">
      <c r="A75" s="20"/>
      <c r="C75" s="1"/>
      <c r="H75" s="1"/>
      <c r="O75" s="2"/>
      <c r="V75" s="2"/>
      <c r="AC75" s="2"/>
    </row>
    <row r="76" customFormat="false" ht="12.8" hidden="false" customHeight="true" outlineLevel="0" collapsed="false">
      <c r="H76" s="1"/>
      <c r="I76" s="18"/>
      <c r="J76" s="1"/>
      <c r="O76" s="2"/>
      <c r="P76" s="18"/>
      <c r="Q76" s="2"/>
      <c r="V76" s="2"/>
      <c r="W76" s="18"/>
      <c r="X76" s="2"/>
      <c r="AC76" s="18"/>
      <c r="AD76" s="18"/>
      <c r="AE76" s="2"/>
    </row>
    <row r="78" customFormat="false" ht="12.8" hidden="false" customHeight="true" outlineLevel="0" collapsed="false">
      <c r="H78" s="18"/>
      <c r="I78" s="18"/>
      <c r="J7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2025-10-10T10:09:03Z</dcterms:created>
  <dc:creator/>
  <dc:description/>
  <dc:language>ru-RU</dc:language>
  <cp:lastModifiedBy/>
  <dcterms:modified xsi:type="dcterms:W3CDTF">2025-11-16T13:35:40Z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