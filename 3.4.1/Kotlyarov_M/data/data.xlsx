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<sst xmlns="http://schemas.openxmlformats.org/spreadsheetml/2006/main" count="72" uniqueCount="34">
  <si>
    <t xml:space="preserve">I_max, A</t>
  </si>
  <si>
    <t xml:space="preserve">SN, см^2</t>
  </si>
  <si>
    <t xml:space="preserve">r_внеш, Ом</t>
  </si>
  <si>
    <t xml:space="preserve">g, м/см^2</t>
  </si>
  <si>
    <t xml:space="preserve">погр весов, кг</t>
  </si>
  <si>
    <t xml:space="preserve">погр весов, Н</t>
  </si>
  <si>
    <t xml:space="preserve">\mu_0, Гн/м</t>
  </si>
  <si>
    <t xml:space="preserve">\tau_0, мкс</t>
  </si>
  <si>
    <t xml:space="preserve">T, \circ C</t>
  </si>
  <si>
    <t xml:space="preserve">\tau, мкс</t>
  </si>
  <si>
    <t xml:space="preserve">T, K</t>
  </si>
  <si>
    <t xml:space="preserve">1/(\tau^2 - \tau_0^2), мкс^-1</t>
  </si>
  <si>
    <t xml:space="preserve">медь</t>
  </si>
  <si>
    <t xml:space="preserve">d, см </t>
  </si>
  <si>
    <t xml:space="preserve">S, м^2</t>
  </si>
  <si>
    <t xml:space="preserve">Аллюминий</t>
  </si>
  <si>
    <t xml:space="preserve">Графит</t>
  </si>
  <si>
    <t xml:space="preserve">Вольфрам</t>
  </si>
  <si>
    <t xml:space="preserve">Калибровка</t>
  </si>
  <si>
    <t xml:space="preserve">I, A</t>
  </si>
  <si>
    <t xml:space="preserve">\Delta \Phi, мВб</t>
  </si>
  <si>
    <t xml:space="preserve">B, Тл</t>
  </si>
  <si>
    <t xml:space="preserve">\Delta m, мг</t>
  </si>
  <si>
    <t xml:space="preserve">B^2, Тл^2</t>
  </si>
  <si>
    <t xml:space="preserve">\sigma_{B^2}, Тл^2</t>
  </si>
  <si>
    <t xml:space="preserve">\varepsilon_{B^2}, \%</t>
  </si>
  <si>
    <t xml:space="preserve">abs{\Delta P}, Н</t>
  </si>
  <si>
    <t xml:space="preserve">\Theta_p, K</t>
  </si>
  <si>
    <t xml:space="preserve">\Theta_K, K</t>
  </si>
  <si>
    <t xml:space="preserve">k, Тл/А</t>
  </si>
  <si>
    <t xml:space="preserve">k, Н/Тл^2
</t>
  </si>
  <si>
    <t xml:space="preserve">b, Тл</t>
  </si>
  <si>
    <t xml:space="preserve">\chi</t>
  </si>
  <si>
    <t xml:space="preserve">аллюминий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</si>
</sst>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0"/>
    <numFmt numFmtId="166" formatCode="0.00000E+00"/>
    <numFmt numFmtId="167" formatCode="0.00E+00"/>
    <numFmt numFmtId="168" formatCode="0.000E+00"/>
    <numFmt numFmtId="169" formatCode="0.000000000"/>
    <numFmt numFmtId="170" formatCode="0.00000000000"/>
    <numFmt numFmtId="171" formatCode="0.0000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16"/>
  <sheetViews>
    <sheetView showFormulas="false" showGridLines="true" showRowColHeaders="true" showZeros="true" rightToLeft="false" tabSelected="true" showOutlineSymbols="true" defaultGridColor="true" view="normal" topLeftCell="A10" colorId="64" zoomScale="140" zoomScaleNormal="140" zoomScalePageLayoutView="100" workbookViewId="0">
      <selection pane="topLeft" activeCell="E20" activeCellId="0" sqref="E2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37349</v>
      </c>
      <c r="B1" s="1"/>
      <c r="C1" s="1"/>
      <c r="D1" s="2"/>
      <c r="E1" s="2"/>
      <c r="F1" s="2"/>
      <c r="G1" s="2"/>
      <c r="H1" s="2"/>
      <c r="I1" s="2"/>
      <c r="J1" s="2"/>
      <c r="K1" s="2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2.8" hidden="false" customHeight="fals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1" t="n">
        <v>36984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customFormat="false" ht="12.8" hidden="false" customHeight="false" outlineLevel="0" collapsed="false">
      <c r="A3" s="2"/>
      <c r="B3" s="1"/>
      <c r="C3" s="1"/>
      <c r="D3" s="2"/>
      <c r="E3" s="2"/>
      <c r="F3" s="2"/>
      <c r="G3" s="2"/>
      <c r="H3" s="2"/>
      <c r="I3" s="2"/>
      <c r="J3" s="2"/>
      <c r="K3" s="2"/>
      <c r="L3" s="2" t="s">
        <v>0</v>
      </c>
      <c r="M3" s="1" t="s">
        <v>1</v>
      </c>
      <c r="N3" s="1" t="s">
        <v>2</v>
      </c>
      <c r="O3" s="1" t="s">
        <v>3</v>
      </c>
      <c r="P3" s="1" t="s">
        <v>4</v>
      </c>
      <c r="Q3" s="1" t="s">
        <v>5</v>
      </c>
      <c r="R3" s="1" t="s">
        <v>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customFormat="false" ht="12.8" hidden="false" customHeight="true" outlineLevel="0" collapsed="false">
      <c r="A4" s="2" t="s">
        <v>7</v>
      </c>
      <c r="B4" s="1" t="s">
        <v>8</v>
      </c>
      <c r="C4" s="2" t="s">
        <v>9</v>
      </c>
      <c r="D4" s="1" t="s">
        <v>10</v>
      </c>
      <c r="E4" s="2" t="s">
        <v>11</v>
      </c>
      <c r="F4" s="2"/>
      <c r="G4" s="2"/>
      <c r="H4" s="2"/>
      <c r="I4" s="2"/>
      <c r="J4" s="2"/>
      <c r="K4" s="2"/>
      <c r="L4" s="2" t="n">
        <v>3.05</v>
      </c>
      <c r="M4" s="1" t="n">
        <v>72</v>
      </c>
      <c r="N4" s="1" t="n">
        <v>5</v>
      </c>
      <c r="O4" s="1" t="n">
        <v>9.90665</v>
      </c>
      <c r="P4" s="1" t="n">
        <f aca="false">10^-6</f>
        <v>1E-006</v>
      </c>
      <c r="Q4" s="1" t="n">
        <f aca="false">P4*O4</f>
        <v>9.90665E-006</v>
      </c>
      <c r="R4" s="3" t="n">
        <f aca="false">4*PI()*10^-7</f>
        <v>1.25663706143592E-006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customFormat="false" ht="12.8" hidden="false" customHeight="true" outlineLevel="0" collapsed="false">
      <c r="A5" s="2" t="n">
        <v>6.9092</v>
      </c>
      <c r="B5" s="2" t="n">
        <v>14.1</v>
      </c>
      <c r="C5" s="2" t="n">
        <v>7.93</v>
      </c>
      <c r="D5" s="2" t="n">
        <f aca="false">B5+273</f>
        <v>287.1</v>
      </c>
      <c r="E5" s="2" t="n">
        <f aca="false">1/(C5^2-$A$5^2)</f>
        <v>0.0660159459035131</v>
      </c>
      <c r="F5" s="2"/>
      <c r="G5" s="2"/>
      <c r="H5" s="2"/>
      <c r="I5" s="1"/>
      <c r="J5" s="1"/>
      <c r="K5" s="1"/>
      <c r="L5" s="1"/>
      <c r="M5" s="1"/>
      <c r="N5" s="1"/>
      <c r="O5" s="1"/>
      <c r="P5" s="1" t="s">
        <v>12</v>
      </c>
      <c r="Q5" s="1" t="s">
        <v>13</v>
      </c>
      <c r="R5" s="4" t="s">
        <v>14</v>
      </c>
      <c r="S5" s="4"/>
      <c r="T5" s="1"/>
      <c r="Z5" s="1" t="s">
        <v>15</v>
      </c>
      <c r="AA5" s="1" t="s">
        <v>13</v>
      </c>
      <c r="AB5" s="1"/>
      <c r="AC5" s="1"/>
      <c r="AD5" s="1"/>
      <c r="AJ5" s="1" t="s">
        <v>16</v>
      </c>
      <c r="AK5" s="1" t="s">
        <v>13</v>
      </c>
      <c r="AL5" s="2"/>
      <c r="AM5" s="2"/>
      <c r="AN5" s="2"/>
      <c r="AO5" s="2"/>
      <c r="AP5" s="2"/>
      <c r="AQ5" s="2"/>
      <c r="AR5" s="1" t="s">
        <v>17</v>
      </c>
      <c r="AS5" s="1" t="s">
        <v>13</v>
      </c>
    </row>
    <row r="6" customFormat="false" ht="12.8" hidden="false" customHeight="true" outlineLevel="0" collapsed="false">
      <c r="A6" s="1"/>
      <c r="B6" s="1" t="n">
        <v>16.05</v>
      </c>
      <c r="C6" s="2" t="n">
        <v>7.88</v>
      </c>
      <c r="D6" s="2" t="n">
        <f aca="false">B6+273</f>
        <v>289.05</v>
      </c>
      <c r="E6" s="2" t="n">
        <f aca="false">1/(C6^2-$A$5^2)</f>
        <v>0.0696507103798537</v>
      </c>
      <c r="F6" s="2"/>
      <c r="G6" s="2"/>
      <c r="H6" s="2"/>
      <c r="I6" s="1"/>
      <c r="J6" s="1"/>
      <c r="K6" s="1"/>
      <c r="L6" s="2" t="s">
        <v>18</v>
      </c>
      <c r="M6" s="1"/>
      <c r="N6" s="1"/>
      <c r="P6" s="1"/>
      <c r="Q6" s="0" t="n">
        <v>1</v>
      </c>
      <c r="R6" s="1" t="n">
        <f aca="false">PI()*Q6^2/4/10^4</f>
        <v>7.85398163397448E-005</v>
      </c>
      <c r="S6" s="1"/>
      <c r="T6" s="1"/>
      <c r="Z6" s="1"/>
      <c r="AA6" s="0" t="n">
        <v>1</v>
      </c>
      <c r="AB6" s="1"/>
      <c r="AC6" s="1"/>
      <c r="AD6" s="1"/>
      <c r="AJ6" s="1"/>
      <c r="AK6" s="0" t="n">
        <v>0.56</v>
      </c>
      <c r="AL6" s="5"/>
      <c r="AM6" s="5"/>
      <c r="AN6" s="5"/>
      <c r="AQ6" s="2"/>
      <c r="AR6" s="5"/>
      <c r="AS6" s="0" t="n">
        <v>1</v>
      </c>
    </row>
    <row r="7" customFormat="false" ht="12.8" hidden="false" customHeight="false" outlineLevel="0" collapsed="false">
      <c r="A7" s="2"/>
      <c r="B7" s="1" t="n">
        <v>18.02</v>
      </c>
      <c r="C7" s="2" t="n">
        <v>7.8</v>
      </c>
      <c r="D7" s="2" t="n">
        <f aca="false">B7+273</f>
        <v>291.02</v>
      </c>
      <c r="E7" s="2" t="n">
        <f aca="false">1/(C7^2-$A$5^2)</f>
        <v>0.0763186603728153</v>
      </c>
      <c r="F7" s="2"/>
      <c r="G7" s="2"/>
      <c r="H7" s="2"/>
      <c r="I7" s="1"/>
      <c r="J7" s="1"/>
      <c r="K7" s="1"/>
      <c r="L7" s="1" t="s">
        <v>19</v>
      </c>
      <c r="M7" s="2" t="s">
        <v>20</v>
      </c>
      <c r="N7" s="0" t="s">
        <v>21</v>
      </c>
      <c r="P7" s="0" t="s">
        <v>19</v>
      </c>
      <c r="Q7" s="0" t="s">
        <v>22</v>
      </c>
      <c r="R7" s="1" t="s">
        <v>23</v>
      </c>
      <c r="S7" s="1" t="s">
        <v>24</v>
      </c>
      <c r="T7" s="6" t="s">
        <v>25</v>
      </c>
      <c r="U7" s="0" t="s">
        <v>26</v>
      </c>
      <c r="Z7" s="0" t="s">
        <v>19</v>
      </c>
      <c r="AA7" s="0" t="s">
        <v>22</v>
      </c>
      <c r="AB7" s="1" t="s">
        <v>23</v>
      </c>
      <c r="AC7" s="1" t="s">
        <v>24</v>
      </c>
      <c r="AD7" s="6" t="s">
        <v>25</v>
      </c>
      <c r="AE7" s="0" t="s">
        <v>26</v>
      </c>
      <c r="AJ7" s="0" t="s">
        <v>19</v>
      </c>
      <c r="AK7" s="0" t="s">
        <v>22</v>
      </c>
      <c r="AL7" s="5" t="s">
        <v>23</v>
      </c>
      <c r="AM7" s="5" t="s">
        <v>24</v>
      </c>
      <c r="AN7" s="6" t="s">
        <v>25</v>
      </c>
      <c r="AO7" s="0" t="s">
        <v>26</v>
      </c>
      <c r="AQ7" s="2"/>
      <c r="AR7" s="0" t="s">
        <v>19</v>
      </c>
      <c r="AS7" s="0" t="s">
        <v>22</v>
      </c>
      <c r="AT7" s="1" t="s">
        <v>23</v>
      </c>
      <c r="AU7" s="1" t="s">
        <v>24</v>
      </c>
      <c r="AV7" s="6" t="s">
        <v>25</v>
      </c>
      <c r="AW7" s="0" t="s">
        <v>26</v>
      </c>
    </row>
    <row r="8" customFormat="false" ht="12.8" hidden="false" customHeight="false" outlineLevel="0" collapsed="false">
      <c r="A8" s="2"/>
      <c r="B8" s="1" t="n">
        <v>20.06</v>
      </c>
      <c r="C8" s="2" t="n">
        <v>7.64</v>
      </c>
      <c r="D8" s="2" t="n">
        <f aca="false">B8+273</f>
        <v>293.06</v>
      </c>
      <c r="E8" s="2" t="n">
        <f aca="false">1/(C8^2-$A$5^2)</f>
        <v>0.0940507682435429</v>
      </c>
      <c r="F8" s="2"/>
      <c r="G8" s="2"/>
      <c r="H8" s="2"/>
      <c r="I8" s="2"/>
      <c r="J8" s="1"/>
      <c r="K8" s="2"/>
      <c r="L8" s="1" t="n">
        <v>0.3</v>
      </c>
      <c r="M8" s="1" t="n">
        <v>0.7</v>
      </c>
      <c r="N8" s="0" t="n">
        <f aca="false">M8/10^3/$M$4*10^4</f>
        <v>0.0972222222222222</v>
      </c>
      <c r="P8" s="0" t="n">
        <v>1.01</v>
      </c>
      <c r="Q8" s="0" t="n">
        <v>-2</v>
      </c>
      <c r="R8" s="1" t="n">
        <f aca="false">(P8*$L$20+$L$22)^2</f>
        <v>0.101251876401</v>
      </c>
      <c r="S8" s="1" t="n">
        <f aca="false">SQRT((P8*$M$20)^2+$M$22^2)*2*R8</f>
        <v>0.00269504788881634</v>
      </c>
      <c r="T8" s="0" t="n">
        <f aca="false">S8/R8*100</f>
        <v>2.66172636459874</v>
      </c>
      <c r="U8" s="0" t="n">
        <f aca="false">ABS(Q8/10^6*$O$4)</f>
        <v>1.98133E-005</v>
      </c>
      <c r="Z8" s="0" t="n">
        <v>0.75</v>
      </c>
      <c r="AA8" s="0" t="n">
        <v>4</v>
      </c>
      <c r="AB8" s="1" t="n">
        <f aca="false">(Z8*$L$20+$L$22)^2</f>
        <v>0.060208890625</v>
      </c>
      <c r="AC8" s="1" t="n">
        <f aca="false">SQRT((Z8*$M$20)^2+$M$22^2)*2*AB8</f>
        <v>0.00152883462656787</v>
      </c>
      <c r="AD8" s="0" t="n">
        <f aca="false">AC8/AB8*100</f>
        <v>2.53921739912123</v>
      </c>
      <c r="AE8" s="0" t="n">
        <f aca="false">ABS(AA8/10^6*$O$4)</f>
        <v>3.96266E-005</v>
      </c>
      <c r="AJ8" s="1" t="n">
        <v>0.65</v>
      </c>
      <c r="AK8" s="1" t="n">
        <v>-2</v>
      </c>
      <c r="AL8" s="1" t="n">
        <f aca="false">(AJ8*$L$20+$L$22)^2</f>
        <v>0.047247543225</v>
      </c>
      <c r="AM8" s="1" t="n">
        <f aca="false">SQRT((AJ8*$M$20)^2+$M$22^2)*2*AL8</f>
        <v>0.00118144265058764</v>
      </c>
      <c r="AN8" s="0" t="n">
        <f aca="false">AM8/AL8*100</f>
        <v>2.50053774216667</v>
      </c>
      <c r="AO8" s="0" t="n">
        <f aca="false">ABS(AK8/10^6*$O$4)</f>
        <v>1.98133E-005</v>
      </c>
      <c r="AQ8" s="2"/>
      <c r="AR8" s="2" t="n">
        <v>0.5</v>
      </c>
      <c r="AS8" s="2" t="n">
        <v>5</v>
      </c>
      <c r="AT8" s="1" t="n">
        <f aca="false">(AR8*$L$20+$L$22)^2</f>
        <v>0.0307476225</v>
      </c>
      <c r="AU8" s="1" t="n">
        <f aca="false">SQRT((AR8*$M$20)^2+$M$22^2)*2*AT8</f>
        <v>0.000753943992616996</v>
      </c>
      <c r="AV8" s="0" t="n">
        <f aca="false">AU8/AT8*100</f>
        <v>2.45203996704785</v>
      </c>
      <c r="AW8" s="0" t="n">
        <f aca="false">ABS(AS8/10^6*$O$4)</f>
        <v>4.953325E-005</v>
      </c>
    </row>
    <row r="9" customFormat="false" ht="12.8" hidden="false" customHeight="false" outlineLevel="0" collapsed="false">
      <c r="A9" s="2"/>
      <c r="B9" s="1" t="n">
        <v>22.04</v>
      </c>
      <c r="C9" s="2" t="n">
        <v>7.46</v>
      </c>
      <c r="D9" s="2" t="n">
        <f aca="false">B9+273</f>
        <v>295.04</v>
      </c>
      <c r="E9" s="2" t="n">
        <f aca="false">1/(C9^2-$A$5^2)</f>
        <v>0.126349485790949</v>
      </c>
      <c r="F9" s="1"/>
      <c r="G9" s="1"/>
      <c r="H9" s="1"/>
      <c r="I9" s="1"/>
      <c r="J9" s="1"/>
      <c r="K9" s="1"/>
      <c r="L9" s="1" t="n">
        <v>1</v>
      </c>
      <c r="M9" s="1" t="n">
        <v>2.3</v>
      </c>
      <c r="N9" s="0" t="n">
        <f aca="false">M9/10^3/$M$4*10^4</f>
        <v>0.319444444444444</v>
      </c>
      <c r="P9" s="1" t="n">
        <v>1.09</v>
      </c>
      <c r="Q9" s="1" t="n">
        <v>-3</v>
      </c>
      <c r="R9" s="1" t="n">
        <f aca="false">(P9*$L$20+$L$22)^2</f>
        <v>0.116014490881</v>
      </c>
      <c r="S9" s="1" t="n">
        <f aca="false">SQRT((P9*$M$20)^2+$M$22^2)*2*R9</f>
        <v>0.00313855339090897</v>
      </c>
      <c r="T9" s="0" t="n">
        <f aca="false">S9/R9*100</f>
        <v>2.7053115236512</v>
      </c>
      <c r="U9" s="0" t="n">
        <f aca="false">ABS(Q9/10^6*$O$4)</f>
        <v>2.971995E-005</v>
      </c>
      <c r="Z9" s="1" t="n">
        <v>1</v>
      </c>
      <c r="AA9" s="1" t="n">
        <v>6</v>
      </c>
      <c r="AB9" s="1" t="n">
        <f aca="false">(Z9*$L$20+$L$22)^2</f>
        <v>0.09947716</v>
      </c>
      <c r="AC9" s="1" t="n">
        <f aca="false">SQRT((Z9*$M$20)^2+$M$22^2)*2*AB9</f>
        <v>0.00264257475951394</v>
      </c>
      <c r="AD9" s="0" t="n">
        <f aca="false">AC9/AB9*100</f>
        <v>2.65646381492389</v>
      </c>
      <c r="AE9" s="0" t="n">
        <f aca="false">ABS(AA9/10^6*$O$4)</f>
        <v>5.94399E-005</v>
      </c>
      <c r="AJ9" s="1" t="n">
        <v>1</v>
      </c>
      <c r="AK9" s="1" t="n">
        <v>-6</v>
      </c>
      <c r="AL9" s="1" t="n">
        <f aca="false">(AJ9*$L$20+$L$22)^2</f>
        <v>0.09947716</v>
      </c>
      <c r="AM9" s="1" t="n">
        <f aca="false">SQRT((AJ9*$M$20)^2+$M$22^2)*2*AL9</f>
        <v>0.00264257475951394</v>
      </c>
      <c r="AN9" s="0" t="n">
        <f aca="false">AM9/AL9*100</f>
        <v>2.65646381492389</v>
      </c>
      <c r="AO9" s="0" t="n">
        <f aca="false">ABS(AK9/10^6*$O$4)</f>
        <v>5.94399E-005</v>
      </c>
      <c r="AQ9" s="2"/>
      <c r="AR9" s="2" t="n">
        <v>0.75</v>
      </c>
      <c r="AS9" s="2" t="n">
        <v>12</v>
      </c>
      <c r="AT9" s="1" t="n">
        <f aca="false">(AR9*$L$20+$L$22)^2</f>
        <v>0.060208890625</v>
      </c>
      <c r="AU9" s="1" t="n">
        <f aca="false">SQRT((AR9*$M$20)^2+$M$22^2)*2*AT9</f>
        <v>0.00152883462656787</v>
      </c>
      <c r="AV9" s="0" t="n">
        <f aca="false">AU9/AT9*100</f>
        <v>2.53921739912123</v>
      </c>
      <c r="AW9" s="0" t="n">
        <f aca="false">ABS(AS9/10^6*$O$4)</f>
        <v>0.0001188798</v>
      </c>
    </row>
    <row r="10" customFormat="false" ht="12.8" hidden="false" customHeight="false" outlineLevel="0" collapsed="false">
      <c r="A10" s="1"/>
      <c r="B10" s="1" t="n">
        <v>24.01</v>
      </c>
      <c r="C10" s="2" t="n">
        <v>7.2665</v>
      </c>
      <c r="D10" s="2" t="n">
        <f aca="false">B10+273</f>
        <v>297.01</v>
      </c>
      <c r="E10" s="2" t="n">
        <f aca="false">1/(C10^2-$A$5^2)</f>
        <v>0.197434239003477</v>
      </c>
      <c r="F10" s="1"/>
      <c r="G10" s="1"/>
      <c r="H10" s="1"/>
      <c r="I10" s="1"/>
      <c r="J10" s="1"/>
      <c r="K10" s="1"/>
      <c r="L10" s="1" t="n">
        <v>1.25</v>
      </c>
      <c r="M10" s="1" t="n">
        <v>2.8</v>
      </c>
      <c r="N10" s="0" t="n">
        <f aca="false">M10/10^3/$M$4*10^4</f>
        <v>0.388888888888889</v>
      </c>
      <c r="P10" s="1" t="n">
        <v>1.24</v>
      </c>
      <c r="Q10" s="1" t="n">
        <v>-4</v>
      </c>
      <c r="R10" s="1" t="n">
        <f aca="false">(P10*$L$20+$L$22)^2</f>
        <v>0.146401125376</v>
      </c>
      <c r="S10" s="1" t="n">
        <f aca="false">SQRT((P10*$M$20)^2+$M$22^2)*2*R10</f>
        <v>0.0040901640207287</v>
      </c>
      <c r="T10" s="0" t="n">
        <f aca="false">S10/R10*100</f>
        <v>2.79380640703682</v>
      </c>
      <c r="U10" s="0" t="n">
        <f aca="false">ABS(Q10/10^6*$O$4)</f>
        <v>3.96266E-005</v>
      </c>
      <c r="Z10" s="1" t="n">
        <v>1.25</v>
      </c>
      <c r="AA10" s="1" t="n">
        <v>10</v>
      </c>
      <c r="AB10" s="1" t="n">
        <f aca="false">(Z10*$L$20+$L$22)^2</f>
        <v>0.148552430625</v>
      </c>
      <c r="AC10" s="1" t="n">
        <f aca="false">SQRT((Z10*$M$20)^2+$M$22^2)*2*AB10</f>
        <v>0.00415947468929965</v>
      </c>
      <c r="AD10" s="0" t="n">
        <f aca="false">AC10/AB10*100</f>
        <v>2.80000446428216</v>
      </c>
      <c r="AE10" s="0" t="n">
        <f aca="false">ABS(AA10/10^6*$O$4)</f>
        <v>9.90665E-005</v>
      </c>
      <c r="AJ10" s="1" t="n">
        <v>1.25</v>
      </c>
      <c r="AK10" s="1" t="n">
        <v>-9</v>
      </c>
      <c r="AL10" s="1" t="n">
        <f aca="false">(AJ10*$L$20+$L$22)^2</f>
        <v>0.148552430625</v>
      </c>
      <c r="AM10" s="1" t="n">
        <f aca="false">SQRT((AJ10*$M$20)^2+$M$22^2)*2*AL10</f>
        <v>0.00415947468929965</v>
      </c>
      <c r="AN10" s="0" t="n">
        <f aca="false">AM10/AL10*100</f>
        <v>2.80000446428216</v>
      </c>
      <c r="AO10" s="0" t="n">
        <f aca="false">ABS(AK10/10^6*$O$4)</f>
        <v>8.915985E-005</v>
      </c>
      <c r="AQ10" s="2"/>
      <c r="AR10" s="1" t="n">
        <v>0.99</v>
      </c>
      <c r="AS10" s="1" t="n">
        <v>22</v>
      </c>
      <c r="AT10" s="1" t="n">
        <f aca="false">(AR10*$L$20+$L$22)^2</f>
        <v>0.097718134801</v>
      </c>
      <c r="AU10" s="1" t="n">
        <f aca="false">SQRT((AR10*$M$20)^2+$M$22^2)*2*AT10</f>
        <v>0.00259074553942891</v>
      </c>
      <c r="AV10" s="0" t="n">
        <f aca="false">AU10/AT10*100</f>
        <v>2.6512433385112</v>
      </c>
      <c r="AW10" s="0" t="n">
        <f aca="false">ABS(AS10/10^6*$O$4)</f>
        <v>0.0002179463</v>
      </c>
    </row>
    <row r="11" customFormat="false" ht="12.8" hidden="false" customHeight="false" outlineLevel="0" collapsed="false">
      <c r="A11" s="1"/>
      <c r="B11" s="2" t="n">
        <v>26</v>
      </c>
      <c r="C11" s="2" t="n">
        <v>7.1542</v>
      </c>
      <c r="D11" s="2" t="n">
        <f aca="false">B11+273</f>
        <v>299</v>
      </c>
      <c r="E11" s="2" t="n">
        <f aca="false">1/(C11^2-$A$5^2)</f>
        <v>0.290230858331642</v>
      </c>
      <c r="F11" s="2"/>
      <c r="G11" s="2"/>
      <c r="H11" s="2"/>
      <c r="I11" s="1"/>
      <c r="J11" s="1"/>
      <c r="K11" s="1"/>
      <c r="L11" s="1" t="n">
        <v>1.5</v>
      </c>
      <c r="M11" s="1" t="n">
        <v>3.3</v>
      </c>
      <c r="N11" s="0" t="n">
        <f aca="false">M11/10^3/$M$4*10^4</f>
        <v>0.458333333333333</v>
      </c>
      <c r="P11" s="1" t="n">
        <v>1.5</v>
      </c>
      <c r="Q11" s="1" t="n">
        <v>-6</v>
      </c>
      <c r="R11" s="1" t="n">
        <f aca="false">(P11*$L$20+$L$22)^2</f>
        <v>0.2074347025</v>
      </c>
      <c r="S11" s="1" t="n">
        <f aca="false">SQRT((P11*$M$20)^2+$M$22^2)*2*R11</f>
        <v>0.00615256363096275</v>
      </c>
      <c r="T11" s="0" t="n">
        <f aca="false">S11/R11*100</f>
        <v>2.96602427501867</v>
      </c>
      <c r="U11" s="0" t="n">
        <f aca="false">ABS(Q11/10^6*$O$4)</f>
        <v>5.94399E-005</v>
      </c>
      <c r="Z11" s="1" t="n">
        <v>1.5</v>
      </c>
      <c r="AA11" s="1" t="n">
        <v>14</v>
      </c>
      <c r="AB11" s="1" t="n">
        <f aca="false">(Z11*$L$20+$L$22)^2</f>
        <v>0.2074347025</v>
      </c>
      <c r="AC11" s="1" t="n">
        <f aca="false">SQRT((Z11*$M$20)^2+$M$22^2)*2*AB11</f>
        <v>0.00615256363096275</v>
      </c>
      <c r="AD11" s="0" t="n">
        <f aca="false">AC11/AB11*100</f>
        <v>2.96602427501867</v>
      </c>
      <c r="AE11" s="0" t="n">
        <f aca="false">ABS(AA11/10^6*$O$4)</f>
        <v>0.0001386931</v>
      </c>
      <c r="AJ11" s="1" t="n">
        <v>1.5</v>
      </c>
      <c r="AK11" s="1" t="n">
        <v>-14</v>
      </c>
      <c r="AL11" s="1" t="n">
        <f aca="false">(AJ11*$L$20+$L$22)^2</f>
        <v>0.2074347025</v>
      </c>
      <c r="AM11" s="1" t="n">
        <f aca="false">SQRT((AJ11*$M$20)^2+$M$22^2)*2*AL11</f>
        <v>0.00615256363096275</v>
      </c>
      <c r="AN11" s="0" t="n">
        <f aca="false">AM11/AL11*100</f>
        <v>2.96602427501867</v>
      </c>
      <c r="AO11" s="0" t="n">
        <f aca="false">ABS(AK11/10^6*$O$4)</f>
        <v>0.0001386931</v>
      </c>
      <c r="AQ11" s="2"/>
      <c r="AR11" s="1" t="n">
        <v>1.26</v>
      </c>
      <c r="AS11" s="1" t="n">
        <v>34</v>
      </c>
      <c r="AT11" s="1" t="n">
        <f aca="false">(AR11*$L$20+$L$22)^2</f>
        <v>0.150719427076</v>
      </c>
      <c r="AU11" s="1" t="n">
        <f aca="false">SQRT((AR11*$M$20)^2+$M$22^2)*2*AT11</f>
        <v>0.00422954651469412</v>
      </c>
      <c r="AV11" s="0" t="n">
        <f aca="false">AU11/AT11*100</f>
        <v>2.80623845031031</v>
      </c>
      <c r="AW11" s="0" t="n">
        <f aca="false">ABS(AS11/10^6*$O$4)</f>
        <v>0.0003368261</v>
      </c>
    </row>
    <row r="12" customFormat="false" ht="12.8" hidden="false" customHeight="false" outlineLevel="0" collapsed="false">
      <c r="A12" s="2"/>
      <c r="B12" s="1" t="n">
        <v>28</v>
      </c>
      <c r="C12" s="2" t="n">
        <v>7.1027</v>
      </c>
      <c r="D12" s="2" t="n">
        <f aca="false">B12+273</f>
        <v>301</v>
      </c>
      <c r="E12" s="2" t="n">
        <f aca="false">1/(C12^2-$A$5^2)</f>
        <v>0.368826401582281</v>
      </c>
      <c r="F12" s="2"/>
      <c r="G12" s="2"/>
      <c r="H12" s="1"/>
      <c r="I12" s="1"/>
      <c r="J12" s="1"/>
      <c r="K12" s="1"/>
      <c r="L12" s="1" t="n">
        <v>1.75</v>
      </c>
      <c r="M12" s="1" t="n">
        <v>3.9</v>
      </c>
      <c r="N12" s="0" t="n">
        <f aca="false">M12/10^3/$M$4*10^4</f>
        <v>0.541666666666667</v>
      </c>
      <c r="P12" s="1" t="n">
        <v>1.75</v>
      </c>
      <c r="Q12" s="1" t="n">
        <v>-8</v>
      </c>
      <c r="R12" s="1" t="n">
        <f aca="false">(P12*$L$20+$L$22)^2</f>
        <v>0.276123975625</v>
      </c>
      <c r="S12" s="1" t="n">
        <f aca="false">SQRT((P12*$M$20)^2+$M$22^2)*2*R12</f>
        <v>0.00870058935668657</v>
      </c>
      <c r="T12" s="0" t="n">
        <f aca="false">S12/R12*100</f>
        <v>3.15097207223422</v>
      </c>
      <c r="U12" s="0" t="n">
        <f aca="false">ABS(Q12/10^6*$O$4)</f>
        <v>7.92532E-005</v>
      </c>
      <c r="Z12" s="1" t="n">
        <v>1.75</v>
      </c>
      <c r="AA12" s="1" t="n">
        <v>18</v>
      </c>
      <c r="AB12" s="1" t="n">
        <f aca="false">(Z12*$L$20+$L$22)^2</f>
        <v>0.276123975625</v>
      </c>
      <c r="AC12" s="1" t="n">
        <f aca="false">SQRT((Z12*$M$20)^2+$M$22^2)*2*AB12</f>
        <v>0.00870058935668657</v>
      </c>
      <c r="AD12" s="0" t="n">
        <f aca="false">AC12/AB12*100</f>
        <v>3.15097207223422</v>
      </c>
      <c r="AE12" s="0" t="n">
        <f aca="false">ABS(AA12/10^6*$O$4)</f>
        <v>0.0001783197</v>
      </c>
      <c r="AJ12" s="1" t="n">
        <v>1.75</v>
      </c>
      <c r="AK12" s="1" t="n">
        <v>-19</v>
      </c>
      <c r="AL12" s="1" t="n">
        <f aca="false">(AJ12*$L$20+$L$22)^2</f>
        <v>0.276123975625</v>
      </c>
      <c r="AM12" s="1" t="n">
        <f aca="false">SQRT((AJ12*$M$20)^2+$M$22^2)*2*AL12</f>
        <v>0.00870058935668657</v>
      </c>
      <c r="AN12" s="0" t="n">
        <f aca="false">AM12/AL12*100</f>
        <v>3.15097207223422</v>
      </c>
      <c r="AO12" s="0" t="n">
        <f aca="false">ABS(AK12/10^6*$O$4)</f>
        <v>0.00018822635</v>
      </c>
      <c r="AQ12" s="2"/>
      <c r="AR12" s="1" t="n">
        <v>1.5</v>
      </c>
      <c r="AS12" s="5" t="n">
        <v>48</v>
      </c>
      <c r="AT12" s="5" t="n">
        <f aca="false">(AR12*$L$20+$L$22)^2</f>
        <v>0.2074347025</v>
      </c>
      <c r="AU12" s="5" t="n">
        <f aca="false">SQRT((AR12*$M$20)^2+$M$22^2)*2*AT12</f>
        <v>0.00615256363096275</v>
      </c>
      <c r="AV12" s="0" t="n">
        <f aca="false">AU12/AT12*100</f>
        <v>2.96602427501867</v>
      </c>
      <c r="AW12" s="0" t="n">
        <f aca="false">ABS(AS12/10^6*$O$4)</f>
        <v>0.0004755192</v>
      </c>
    </row>
    <row r="13" customFormat="false" ht="12.8" hidden="false" customHeight="false" outlineLevel="0" collapsed="false">
      <c r="A13" s="7"/>
      <c r="B13" s="7" t="n">
        <v>30.06</v>
      </c>
      <c r="C13" s="2" t="n">
        <v>7.067</v>
      </c>
      <c r="D13" s="2" t="n">
        <f aca="false">B13+273</f>
        <v>303.06</v>
      </c>
      <c r="E13" s="2" t="n">
        <f aca="false">1/(C13^2-$A$5^2)</f>
        <v>0.45342336362546</v>
      </c>
      <c r="F13" s="7"/>
      <c r="G13" s="7"/>
      <c r="H13" s="7"/>
      <c r="I13" s="1"/>
      <c r="J13" s="1"/>
      <c r="K13" s="1"/>
      <c r="L13" s="1" t="n">
        <v>2</v>
      </c>
      <c r="M13" s="1" t="n">
        <v>4.4</v>
      </c>
      <c r="N13" s="0" t="n">
        <f aca="false">M13/10^3/$M$4*10^4</f>
        <v>0.611111111111111</v>
      </c>
      <c r="P13" s="1" t="n">
        <v>2.01</v>
      </c>
      <c r="Q13" s="1" t="n">
        <v>-11</v>
      </c>
      <c r="R13" s="1" t="n">
        <f aca="false">(P13*$L$20+$L$22)^2</f>
        <v>0.357964086601</v>
      </c>
      <c r="S13" s="1" t="n">
        <f aca="false">SQRT((P13*$M$20)^2+$M$22^2)*2*R13</f>
        <v>0.0120277186178785</v>
      </c>
      <c r="T13" s="0" t="n">
        <f aca="false">S13/R13*100</f>
        <v>3.36003500577003</v>
      </c>
      <c r="U13" s="0" t="n">
        <f aca="false">ABS(Q13/10^6*$O$4)</f>
        <v>0.00010897315</v>
      </c>
      <c r="Z13" s="1" t="n">
        <v>2</v>
      </c>
      <c r="AA13" s="1" t="n">
        <v>23</v>
      </c>
      <c r="AB13" s="1" t="n">
        <f aca="false">(Z13*$L$20+$L$22)^2</f>
        <v>0.35462025</v>
      </c>
      <c r="AC13" s="1" t="n">
        <f aca="false">SQRT((Z13*$M$20)^2+$M$22^2)*2*AB13</f>
        <v>0.0118858635819651</v>
      </c>
      <c r="AD13" s="0" t="n">
        <f aca="false">AC13/AB13*100</f>
        <v>3.35171597842061</v>
      </c>
      <c r="AE13" s="0" t="n">
        <f aca="false">ABS(AA13/10^6*$O$4)</f>
        <v>0.00022785295</v>
      </c>
      <c r="AJ13" s="1" t="n">
        <v>1.99</v>
      </c>
      <c r="AK13" s="1" t="n">
        <v>-24</v>
      </c>
      <c r="AL13" s="1" t="n">
        <f aca="false">(AJ13*$L$20+$L$22)^2</f>
        <v>0.351292104601</v>
      </c>
      <c r="AM13" s="1" t="n">
        <f aca="false">SQRT((AJ13*$M$20)^2+$M$22^2)*2*AL13</f>
        <v>0.0117451630991404</v>
      </c>
      <c r="AN13" s="0" t="n">
        <f aca="false">AM13/AL13*100</f>
        <v>3.34341789790029</v>
      </c>
      <c r="AO13" s="0" t="n">
        <f aca="false">ABS(AK13/10^6*$O$4)</f>
        <v>0.0002377596</v>
      </c>
      <c r="AQ13" s="2"/>
      <c r="AR13" s="1" t="n">
        <v>1.75</v>
      </c>
      <c r="AS13" s="1" t="n">
        <v>66</v>
      </c>
      <c r="AT13" s="1" t="n">
        <f aca="false">(AR13*$L$20+$L$22)^2</f>
        <v>0.276123975625</v>
      </c>
      <c r="AU13" s="1" t="n">
        <f aca="false">SQRT((AR13*$M$20)^2+$M$22^2)*2*AT13</f>
        <v>0.00870058935668657</v>
      </c>
      <c r="AV13" s="0" t="n">
        <f aca="false">AU13/AT13*100</f>
        <v>3.15097207223422</v>
      </c>
      <c r="AW13" s="0" t="n">
        <f aca="false">ABS(AS13/10^6*$O$4)</f>
        <v>0.0006538389</v>
      </c>
    </row>
    <row r="14" customFormat="false" ht="12.8" hidden="false" customHeight="false" outlineLevel="0" collapsed="false">
      <c r="A14" s="7"/>
      <c r="B14" s="1" t="n">
        <v>32</v>
      </c>
      <c r="C14" s="2" t="n">
        <v>7.0501</v>
      </c>
      <c r="D14" s="2" t="n">
        <f aca="false">B14+273</f>
        <v>305</v>
      </c>
      <c r="E14" s="2" t="n">
        <f aca="false">1/(C14^2-$A$5^2)</f>
        <v>0.508423207430818</v>
      </c>
      <c r="F14" s="1"/>
      <c r="G14" s="1" t="s">
        <v>27</v>
      </c>
      <c r="H14" s="8"/>
      <c r="I14" s="2"/>
      <c r="J14" s="2"/>
      <c r="K14" s="2"/>
      <c r="L14" s="1" t="n">
        <v>2.25</v>
      </c>
      <c r="M14" s="1" t="n">
        <v>4.8</v>
      </c>
      <c r="N14" s="0" t="n">
        <f aca="false">M14/10^3/$M$4*10^4</f>
        <v>0.666666666666667</v>
      </c>
      <c r="P14" s="1" t="n">
        <v>2.26</v>
      </c>
      <c r="Q14" s="1" t="n">
        <v>-13</v>
      </c>
      <c r="R14" s="1" t="n">
        <f aca="false">(P14*$L$20+$L$22)^2</f>
        <v>0.446659642276</v>
      </c>
      <c r="S14" s="1" t="n">
        <f aca="false">SQRT((P14*$M$20)^2+$M$22^2)*2*R14</f>
        <v>0.0159653315755666</v>
      </c>
      <c r="T14" s="0" t="n">
        <f aca="false">S14/R14*100</f>
        <v>3.57438417633024</v>
      </c>
      <c r="U14" s="0" t="n">
        <f aca="false">ABS(Q14/10^6*$O$4)</f>
        <v>0.00012878645</v>
      </c>
      <c r="Z14" s="1" t="n">
        <v>2.25</v>
      </c>
      <c r="AA14" s="1" t="n">
        <v>29</v>
      </c>
      <c r="AB14" s="1" t="n">
        <f aca="false">(Z14*$L$20+$L$22)^2</f>
        <v>0.442923525625</v>
      </c>
      <c r="AC14" s="1" t="n">
        <f aca="false">SQRT((Z14*$M$20)^2+$M$22^2)*2*AB14</f>
        <v>0.0157928325596983</v>
      </c>
      <c r="AD14" s="0" t="n">
        <f aca="false">AC14/AB14*100</f>
        <v>3.56558901165011</v>
      </c>
      <c r="AE14" s="0" t="n">
        <f aca="false">ABS(AA14/10^6*$O$4)</f>
        <v>0.00028729285</v>
      </c>
      <c r="AJ14" s="1" t="n">
        <v>2.25</v>
      </c>
      <c r="AK14" s="1" t="n">
        <v>-31</v>
      </c>
      <c r="AL14" s="1" t="n">
        <f aca="false">(AJ14*$L$20+$L$22)^2</f>
        <v>0.442923525625</v>
      </c>
      <c r="AM14" s="1" t="n">
        <f aca="false">SQRT((AJ14*$M$20)^2+$M$22^2)*2*AL14</f>
        <v>0.0157928325596983</v>
      </c>
      <c r="AN14" s="0" t="n">
        <f aca="false">AM14/AL14*100</f>
        <v>3.56558901165011</v>
      </c>
      <c r="AO14" s="0" t="n">
        <f aca="false">ABS(AK14/10^6*$O$4)</f>
        <v>0.00030710615</v>
      </c>
      <c r="AQ14" s="9"/>
      <c r="AR14" s="1" t="n">
        <v>2</v>
      </c>
      <c r="AS14" s="1" t="n">
        <v>84</v>
      </c>
      <c r="AT14" s="1" t="n">
        <f aca="false">(AR14*$L$20+$L$22)^2</f>
        <v>0.35462025</v>
      </c>
      <c r="AU14" s="1" t="n">
        <f aca="false">SQRT((AR14*$M$20)^2+$M$22^2)*2*AT14</f>
        <v>0.0118858635819651</v>
      </c>
      <c r="AV14" s="0" t="n">
        <f aca="false">AU14/AT14*100</f>
        <v>3.35171597842061</v>
      </c>
      <c r="AW14" s="0" t="n">
        <f aca="false">ABS(AS14/10^6*$O$4)</f>
        <v>0.0008321586</v>
      </c>
    </row>
    <row r="15" customFormat="false" ht="12.8" hidden="false" customHeight="false" outlineLevel="0" collapsed="false">
      <c r="A15" s="7"/>
      <c r="B15" s="1" t="n">
        <v>34</v>
      </c>
      <c r="C15" s="2" t="n">
        <v>7.0349</v>
      </c>
      <c r="D15" s="2" t="n">
        <f aca="false">B15+273</f>
        <v>307</v>
      </c>
      <c r="E15" s="2" t="n">
        <f aca="false">1/(C15^2-$A$5^2)</f>
        <v>0.570524414117494</v>
      </c>
      <c r="F15" s="1"/>
      <c r="G15" s="10" t="n">
        <v>290.62</v>
      </c>
      <c r="H15" s="7" t="n">
        <v>10.46</v>
      </c>
      <c r="I15" s="2" t="n">
        <f aca="false">H15/G15*100</f>
        <v>3.59920170669603</v>
      </c>
      <c r="J15" s="2"/>
      <c r="K15" s="2"/>
      <c r="L15" s="1" t="n">
        <v>2.51</v>
      </c>
      <c r="M15" s="1" t="n">
        <v>5.4</v>
      </c>
      <c r="N15" s="0" t="n">
        <f aca="false">M15/10^3/$M$4*10^4</f>
        <v>0.75</v>
      </c>
      <c r="P15" s="1" t="n">
        <v>2.51</v>
      </c>
      <c r="Q15" s="1" t="n">
        <v>-16</v>
      </c>
      <c r="R15" s="1" t="n">
        <f aca="false">(P15*$L$20+$L$22)^2</f>
        <v>0.545162199201</v>
      </c>
      <c r="S15" s="1" t="n">
        <f aca="false">SQRT((P15*$M$20)^2+$M$22^2)*2*R15</f>
        <v>0.0207137670414541</v>
      </c>
      <c r="T15" s="0" t="n">
        <f aca="false">S15/R15*100</f>
        <v>3.7995604008885</v>
      </c>
      <c r="U15" s="0" t="n">
        <f aca="false">ABS(Q15/10^6*$O$4)</f>
        <v>0.0001585064</v>
      </c>
      <c r="Z15" s="1" t="n">
        <v>2.5</v>
      </c>
      <c r="AA15" s="1" t="n">
        <v>35</v>
      </c>
      <c r="AB15" s="1" t="n">
        <f aca="false">(Z15*$L$20+$L$22)^2</f>
        <v>0.5410338025</v>
      </c>
      <c r="AC15" s="1" t="n">
        <f aca="false">SQRT((Z15*$M$20)^2+$M$22^2)*2*AB15</f>
        <v>0.020507179559116</v>
      </c>
      <c r="AD15" s="0" t="n">
        <f aca="false">AC15/AB15*100</f>
        <v>3.79036937514011</v>
      </c>
      <c r="AE15" s="0" t="n">
        <f aca="false">ABS(AA15/10^6*$O$4)</f>
        <v>0.00034673275</v>
      </c>
      <c r="AJ15" s="1" t="n">
        <v>2.5</v>
      </c>
      <c r="AK15" s="1" t="n">
        <v>-38</v>
      </c>
      <c r="AL15" s="1" t="n">
        <f aca="false">(AJ15*$L$20+$L$22)^2</f>
        <v>0.5410338025</v>
      </c>
      <c r="AM15" s="1" t="n">
        <f aca="false">SQRT((AJ15*$M$20)^2+$M$22^2)*2*AL15</f>
        <v>0.020507179559116</v>
      </c>
      <c r="AN15" s="0" t="n">
        <f aca="false">AM15/AL15*100</f>
        <v>3.79036937514011</v>
      </c>
      <c r="AO15" s="0" t="n">
        <f aca="false">ABS(AK15/10^6*$O$4)</f>
        <v>0.0003764527</v>
      </c>
      <c r="AQ15" s="2"/>
      <c r="AR15" s="1" t="n">
        <v>2.25</v>
      </c>
      <c r="AS15" s="1" t="n">
        <v>104</v>
      </c>
      <c r="AT15" s="1" t="n">
        <f aca="false">(AR15*$L$20+$L$22)^2</f>
        <v>0.442923525625</v>
      </c>
      <c r="AU15" s="1" t="n">
        <f aca="false">SQRT((AR15*$M$20)^2+$M$22^2)*2*AT15</f>
        <v>0.0157928325596983</v>
      </c>
      <c r="AV15" s="0" t="n">
        <f aca="false">AU15/AT15*100</f>
        <v>3.56558901165011</v>
      </c>
      <c r="AW15" s="0" t="n">
        <f aca="false">ABS(AS15/10^6*$O$4)</f>
        <v>0.0010302916</v>
      </c>
    </row>
    <row r="16" customFormat="false" ht="12.8" hidden="false" customHeight="false" outlineLevel="0" collapsed="false">
      <c r="A16" s="7"/>
      <c r="B16" s="1" t="n">
        <v>36</v>
      </c>
      <c r="C16" s="2" t="n">
        <v>7.0231</v>
      </c>
      <c r="D16" s="2" t="n">
        <f aca="false">B16+273</f>
        <v>309</v>
      </c>
      <c r="E16" s="2" t="n">
        <f aca="false">1/(C16^2-$A$5^2)</f>
        <v>0.630163810389329</v>
      </c>
      <c r="F16" s="1"/>
      <c r="G16" s="1"/>
      <c r="H16" s="7"/>
      <c r="I16" s="2"/>
      <c r="J16" s="2"/>
      <c r="K16" s="2"/>
      <c r="L16" s="1" t="n">
        <v>2.74</v>
      </c>
      <c r="M16" s="1" t="n">
        <v>5.7</v>
      </c>
      <c r="N16" s="0" t="n">
        <f aca="false">M16/10^3/$M$4*10^4</f>
        <v>0.791666666666667</v>
      </c>
      <c r="P16" s="1" t="n">
        <v>2.75</v>
      </c>
      <c r="Q16" s="1" t="n">
        <v>-18</v>
      </c>
      <c r="R16" s="1" t="n">
        <f aca="false">(P16*$L$20+$L$22)^2</f>
        <v>0.648951080625</v>
      </c>
      <c r="S16" s="1" t="n">
        <f aca="false">SQRT((P16*$M$20)^2+$M$22^2)*2*R16</f>
        <v>0.0261152823843204</v>
      </c>
      <c r="T16" s="0" t="n">
        <f aca="false">S16/R16*100</f>
        <v>4.02422973996267</v>
      </c>
      <c r="U16" s="0" t="n">
        <f aca="false">ABS(Q16/10^6*$O$4)</f>
        <v>0.0001783197</v>
      </c>
      <c r="Z16" s="1" t="n">
        <v>2.76</v>
      </c>
      <c r="AA16" s="1" t="n">
        <v>41</v>
      </c>
      <c r="AB16" s="1" t="n">
        <f aca="false">(Z16*$L$20+$L$22)^2</f>
        <v>0.653471757376</v>
      </c>
      <c r="AC16" s="1" t="n">
        <f aca="false">SQRT((Z16*$M$20)^2+$M$22^2)*2*AB16</f>
        <v>0.0263594228269666</v>
      </c>
      <c r="AD16" s="0" t="n">
        <f aca="false">AC16/AB16*100</f>
        <v>4.03375088968072</v>
      </c>
      <c r="AE16" s="0" t="n">
        <f aca="false">ABS(AA16/10^6*$O$4)</f>
        <v>0.00040617265</v>
      </c>
      <c r="AJ16" s="1" t="n">
        <v>2.75</v>
      </c>
      <c r="AK16" s="1" t="n">
        <v>-45</v>
      </c>
      <c r="AL16" s="1" t="n">
        <f aca="false">(AJ16*$L$20+$L$22)^2</f>
        <v>0.648951080625</v>
      </c>
      <c r="AM16" s="1" t="n">
        <f aca="false">SQRT((AJ16*$M$20)^2+$M$22^2)*2*AL16</f>
        <v>0.0261152823843204</v>
      </c>
      <c r="AN16" s="0" t="n">
        <f aca="false">AM16/AL16*100</f>
        <v>4.02422973996267</v>
      </c>
      <c r="AO16" s="0" t="n">
        <f aca="false">ABS(AK16/10^6*$O$4)</f>
        <v>0.00044579925</v>
      </c>
      <c r="AQ16" s="2"/>
      <c r="AR16" s="1" t="n">
        <v>2.5</v>
      </c>
      <c r="AS16" s="1" t="n">
        <v>124</v>
      </c>
      <c r="AT16" s="1" t="n">
        <f aca="false">(AR16*$L$20+$L$22)^2</f>
        <v>0.5410338025</v>
      </c>
      <c r="AU16" s="1" t="n">
        <f aca="false">SQRT((AR16*$M$20)^2+$M$22^2)*2*AT16</f>
        <v>0.020507179559116</v>
      </c>
      <c r="AV16" s="0" t="n">
        <f aca="false">AU16/AT16*100</f>
        <v>3.79036937514011</v>
      </c>
      <c r="AW16" s="0" t="n">
        <f aca="false">ABS(AS16/10^6*$O$4)</f>
        <v>0.0012284246</v>
      </c>
    </row>
    <row r="17" customFormat="false" ht="12.8" hidden="false" customHeight="false" outlineLevel="0" collapsed="false">
      <c r="A17" s="7"/>
      <c r="B17" s="7" t="n">
        <v>38</v>
      </c>
      <c r="C17" s="2" t="n">
        <v>7.014</v>
      </c>
      <c r="D17" s="2" t="n">
        <f aca="false">B17+273</f>
        <v>311</v>
      </c>
      <c r="E17" s="2" t="n">
        <f aca="false">1/(C17^2-$A$5^2)</f>
        <v>0.685329861872589</v>
      </c>
      <c r="F17" s="7"/>
      <c r="G17" s="7" t="s">
        <v>28</v>
      </c>
      <c r="H17" s="7"/>
      <c r="I17" s="2"/>
      <c r="J17" s="2"/>
      <c r="K17" s="2"/>
      <c r="L17" s="1" t="n">
        <v>3.03</v>
      </c>
      <c r="M17" s="1" t="n">
        <v>6.2</v>
      </c>
      <c r="N17" s="0" t="n">
        <f aca="false">M17/10^3/$M$4*10^4</f>
        <v>0.861111111111111</v>
      </c>
      <c r="P17" s="1" t="n">
        <v>3</v>
      </c>
      <c r="Q17" s="1" t="n">
        <v>-21</v>
      </c>
      <c r="R17" s="1" t="n">
        <f aca="false">(P17*$L$20+$L$22)^2</f>
        <v>0.76667536</v>
      </c>
      <c r="S17" s="1" t="n">
        <f aca="false">SQRT((P17*$M$20)^2+$M$22^2)*2*R17</f>
        <v>0.0327038942550517</v>
      </c>
      <c r="T17" s="0" t="n">
        <f aca="false">S17/R17*100</f>
        <v>4.2656769685479</v>
      </c>
      <c r="U17" s="0" t="n">
        <f aca="false">ABS(Q17/10^6*$O$4)</f>
        <v>0.00020803965</v>
      </c>
      <c r="Z17" s="1" t="n">
        <v>3.03</v>
      </c>
      <c r="AA17" s="1" t="n">
        <v>47</v>
      </c>
      <c r="AB17" s="1" t="n">
        <f aca="false">(Z17*$L$20+$L$22)^2</f>
        <v>0.781461304009</v>
      </c>
      <c r="AC17" s="1" t="n">
        <f aca="false">SQRT((Z17*$M$20)^2+$M$22^2)*2*AB17</f>
        <v>0.03356454551466</v>
      </c>
      <c r="AD17" s="0" t="n">
        <f aca="false">AC17/AB17*100</f>
        <v>4.29510013387348</v>
      </c>
      <c r="AE17" s="0" t="n">
        <f aca="false">ABS(AA17/10^6*$O$4)</f>
        <v>0.00046561255</v>
      </c>
      <c r="AJ17" s="1" t="n">
        <v>3</v>
      </c>
      <c r="AK17" s="1" t="n">
        <v>-51</v>
      </c>
      <c r="AL17" s="1" t="n">
        <f aca="false">(AJ17*$L$20+$L$22)^2</f>
        <v>0.76667536</v>
      </c>
      <c r="AM17" s="1" t="n">
        <f aca="false">SQRT((AJ17*$M$20)^2+$M$22^2)*2*AL17</f>
        <v>0.0327038942550517</v>
      </c>
      <c r="AN17" s="0" t="n">
        <f aca="false">AM17/AL17*100</f>
        <v>4.2656769685479</v>
      </c>
      <c r="AO17" s="0" t="n">
        <f aca="false">ABS(AK17/10^6*$O$4)</f>
        <v>0.00050523915</v>
      </c>
      <c r="AQ17" s="2"/>
      <c r="AR17" s="1" t="n">
        <v>2.75</v>
      </c>
      <c r="AS17" s="1" t="n">
        <v>145</v>
      </c>
      <c r="AT17" s="1" t="n">
        <f aca="false">(AR17*$L$20+$L$22)^2</f>
        <v>0.648951080625</v>
      </c>
      <c r="AU17" s="1" t="n">
        <f aca="false">SQRT((AR17*$M$20)^2+$M$22^2)*2*AT17</f>
        <v>0.0261152823843204</v>
      </c>
      <c r="AV17" s="0" t="n">
        <f aca="false">AU17/AT17*100</f>
        <v>4.02422973996267</v>
      </c>
      <c r="AW17" s="0" t="n">
        <f aca="false">ABS(AS17/10^6*$O$4)</f>
        <v>0.00143646425</v>
      </c>
    </row>
    <row r="18" customFormat="false" ht="12.8" hidden="false" customHeight="false" outlineLevel="0" collapsed="false">
      <c r="A18" s="1"/>
      <c r="B18" s="1" t="n">
        <v>40</v>
      </c>
      <c r="C18" s="2" t="n">
        <v>7.0073</v>
      </c>
      <c r="D18" s="2" t="n">
        <f aca="false">B18+273</f>
        <v>313</v>
      </c>
      <c r="E18" s="2" t="n">
        <f aca="false">1/(C18^2-$A$5^2)</f>
        <v>0.732488766460717</v>
      </c>
      <c r="F18" s="1"/>
      <c r="G18" s="10" t="n">
        <v>293.06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1"/>
      <c r="AA18" s="1"/>
      <c r="AB18" s="1"/>
      <c r="AC18" s="1"/>
      <c r="AD18" s="1"/>
      <c r="AL18" s="5"/>
      <c r="AM18" s="5"/>
      <c r="AN18" s="5"/>
      <c r="AQ18" s="1"/>
      <c r="AR18" s="1" t="n">
        <v>3</v>
      </c>
      <c r="AS18" s="1" t="n">
        <v>165</v>
      </c>
      <c r="AT18" s="1" t="n">
        <f aca="false">(AR18*$L$20+$L$22)^2</f>
        <v>0.76667536</v>
      </c>
      <c r="AU18" s="1" t="n">
        <f aca="false">SQRT((AR18*$M$20)^2+$M$22^2)*2*AT18</f>
        <v>0.0327038942550517</v>
      </c>
      <c r="AV18" s="0" t="n">
        <f aca="false">AU18/AT18*100</f>
        <v>4.2656769685479</v>
      </c>
      <c r="AW18" s="0" t="n">
        <f aca="false">ABS(AS18/10^6*$O$4)</f>
        <v>0.00163459725</v>
      </c>
    </row>
    <row r="19" customFormat="false" ht="23.4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2"/>
      <c r="J19" s="1"/>
      <c r="K19" s="1"/>
      <c r="L19" s="1" t="s">
        <v>29</v>
      </c>
      <c r="M19" s="1"/>
      <c r="N19" s="1"/>
      <c r="O19" s="1"/>
      <c r="P19" s="2"/>
      <c r="Q19" s="10" t="s">
        <v>30</v>
      </c>
      <c r="R19" s="2"/>
      <c r="S19" s="2"/>
      <c r="T19" s="1"/>
      <c r="U19" s="1"/>
      <c r="V19" s="1"/>
      <c r="W19" s="1"/>
      <c r="X19" s="1"/>
      <c r="Y19" s="1"/>
      <c r="Z19" s="11" t="s">
        <v>30</v>
      </c>
      <c r="AA19" s="11"/>
      <c r="AB19" s="1"/>
      <c r="AC19" s="2"/>
      <c r="AD19" s="1"/>
      <c r="AE19" s="1"/>
      <c r="AF19" s="1"/>
      <c r="AG19" s="1"/>
      <c r="AJ19" s="11" t="s">
        <v>30</v>
      </c>
      <c r="AK19" s="11"/>
      <c r="AL19" s="5"/>
      <c r="AM19" s="5"/>
      <c r="AN19" s="5"/>
      <c r="AQ19" s="4"/>
      <c r="AR19" s="11" t="s">
        <v>30</v>
      </c>
      <c r="AS19" s="1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2" t="n">
        <v>0.2801</v>
      </c>
      <c r="M20" s="12" t="n">
        <v>0.0059</v>
      </c>
      <c r="N20" s="2" t="n">
        <f aca="false">M20/L20*100</f>
        <v>2.10639057479472</v>
      </c>
      <c r="O20" s="1"/>
      <c r="P20" s="2"/>
      <c r="Q20" s="13" t="n">
        <v>-0.00028</v>
      </c>
      <c r="R20" s="13" t="n">
        <v>7.46E-006</v>
      </c>
      <c r="S20" s="0" t="n">
        <f aca="false">R20/ABS(Q20)*100</f>
        <v>2.66428571428571</v>
      </c>
      <c r="U20" s="1"/>
      <c r="V20" s="1"/>
      <c r="W20" s="1"/>
      <c r="X20" s="1"/>
      <c r="Y20" s="1"/>
      <c r="Z20" s="13" t="n">
        <v>0.000623</v>
      </c>
      <c r="AA20" s="13" t="n">
        <v>7.44E-006</v>
      </c>
      <c r="AB20" s="0" t="n">
        <f aca="false">AA20/ABS(Z20)*100</f>
        <v>1.19422150882825</v>
      </c>
      <c r="AC20" s="2"/>
      <c r="AD20" s="1"/>
      <c r="AE20" s="1"/>
      <c r="AF20" s="1"/>
      <c r="AG20" s="1"/>
      <c r="AH20" s="1"/>
      <c r="AI20" s="1"/>
      <c r="AJ20" s="13" t="n">
        <v>-0.000677</v>
      </c>
      <c r="AK20" s="13" t="n">
        <v>7.51E-006</v>
      </c>
      <c r="AL20" s="0" t="n">
        <f aca="false">AK20/ABS(AJ20)*100</f>
        <v>1.10930576070901</v>
      </c>
      <c r="AM20" s="2"/>
      <c r="AN20" s="2"/>
      <c r="AO20" s="2"/>
      <c r="AP20" s="2"/>
      <c r="AQ20" s="2"/>
      <c r="AR20" s="13" t="n">
        <v>0.00223</v>
      </c>
      <c r="AS20" s="13" t="n">
        <v>7.5E-006</v>
      </c>
      <c r="AT20" s="0" t="n">
        <f aca="false">AS20/ABS(AR20)*100</f>
        <v>0.336322869955157</v>
      </c>
    </row>
    <row r="21" customFormat="false" ht="12.8" hidden="false" customHeight="false" outlineLevel="0" collapsed="false">
      <c r="A21" s="1"/>
      <c r="B21" s="4"/>
      <c r="C21" s="1" t="s">
        <v>10</v>
      </c>
      <c r="D21" s="2" t="s">
        <v>9</v>
      </c>
      <c r="E21" s="2" t="s">
        <v>11</v>
      </c>
      <c r="F21" s="1"/>
      <c r="G21" s="1"/>
      <c r="H21" s="1"/>
      <c r="I21" s="1"/>
      <c r="J21" s="1"/>
      <c r="K21" s="1"/>
      <c r="L21" s="1" t="s">
        <v>31</v>
      </c>
      <c r="N21" s="1"/>
      <c r="O21" s="1"/>
      <c r="P21" s="2"/>
      <c r="Q21" s="2" t="s">
        <v>32</v>
      </c>
      <c r="U21" s="1"/>
      <c r="Y21" s="1"/>
      <c r="Z21" s="14" t="s">
        <v>32</v>
      </c>
      <c r="AA21" s="15"/>
      <c r="AB21" s="1"/>
      <c r="AC21" s="2"/>
      <c r="AD21" s="1"/>
      <c r="AE21" s="1"/>
      <c r="AF21" s="1"/>
      <c r="AG21" s="1"/>
      <c r="AH21" s="1"/>
      <c r="AI21" s="1"/>
      <c r="AJ21" s="14" t="s">
        <v>32</v>
      </c>
      <c r="AK21" s="15"/>
      <c r="AL21" s="2"/>
      <c r="AM21" s="2"/>
      <c r="AN21" s="2"/>
      <c r="AO21" s="2"/>
      <c r="AP21" s="2"/>
      <c r="AQ21" s="2"/>
      <c r="AR21" s="14" t="s">
        <v>32</v>
      </c>
      <c r="AS21" s="15"/>
    </row>
    <row r="22" customFormat="false" ht="12.8" hidden="false" customHeight="false" outlineLevel="0" collapsed="false">
      <c r="A22" s="4"/>
      <c r="B22" s="4"/>
      <c r="C22" s="1" t="n">
        <v>287.1</v>
      </c>
      <c r="D22" s="2" t="n">
        <v>7.93</v>
      </c>
      <c r="E22" s="1" t="n">
        <v>0.0660159459035131</v>
      </c>
      <c r="F22" s="1"/>
      <c r="G22" s="1"/>
      <c r="H22" s="1"/>
      <c r="I22" s="1"/>
      <c r="J22" s="2"/>
      <c r="K22" s="2"/>
      <c r="L22" s="12" t="n">
        <v>0.0353</v>
      </c>
      <c r="M22" s="12" t="n">
        <v>0.0119</v>
      </c>
      <c r="N22" s="2" t="n">
        <f aca="false">M22/L22*100</f>
        <v>33.7110481586402</v>
      </c>
      <c r="O22" s="2"/>
      <c r="P22" s="2"/>
      <c r="Q22" s="16" t="n">
        <f aca="false">-0.00000896</f>
        <v>-8.96E-006</v>
      </c>
      <c r="R22" s="0" t="n">
        <f aca="false">0.000000239</f>
        <v>2.39E-007</v>
      </c>
      <c r="S22" s="0" t="n">
        <f aca="false">R22/ABS(Q22)*100</f>
        <v>2.66741071428571</v>
      </c>
      <c r="U22" s="2"/>
      <c r="V22" s="2"/>
      <c r="W22" s="2"/>
      <c r="X22" s="2"/>
      <c r="Y22" s="2"/>
      <c r="Z22" s="13" t="n">
        <v>1.99E-005</v>
      </c>
      <c r="AA22" s="13" t="n">
        <v>2.38E-007</v>
      </c>
      <c r="AB22" s="0" t="n">
        <f aca="false">AA22/ABS(Z22)*100</f>
        <v>1.19597989949749</v>
      </c>
      <c r="AC22" s="2"/>
      <c r="AD22" s="1"/>
      <c r="AE22" s="2"/>
      <c r="AF22" s="17"/>
      <c r="AG22" s="2"/>
      <c r="AH22" s="1"/>
      <c r="AI22" s="1"/>
      <c r="AJ22" s="13" t="n">
        <v>-6.9E-005</v>
      </c>
      <c r="AK22" s="13" t="n">
        <v>7.66E-007</v>
      </c>
      <c r="AL22" s="0" t="n">
        <f aca="false">AK22/ABS(AJ22)*100</f>
        <v>1.11014492753623</v>
      </c>
      <c r="AM22" s="2"/>
      <c r="AN22" s="2"/>
      <c r="AO22" s="2"/>
      <c r="AP22" s="2"/>
      <c r="AQ22" s="2"/>
      <c r="AR22" s="13" t="n">
        <v>7.12E-005</v>
      </c>
      <c r="AS22" s="13" t="n">
        <v>2.4E-007</v>
      </c>
      <c r="AT22" s="0" t="n">
        <f aca="false">AS22/ABS(AR22)*100</f>
        <v>0.337078651685393</v>
      </c>
    </row>
    <row r="23" customFormat="false" ht="12.8" hidden="false" customHeight="false" outlineLevel="0" collapsed="false">
      <c r="A23" s="4"/>
      <c r="B23" s="4"/>
      <c r="C23" s="1" t="n">
        <v>289.05</v>
      </c>
      <c r="D23" s="2" t="n">
        <v>7.88</v>
      </c>
      <c r="E23" s="1" t="n">
        <v>0.0696507103798537</v>
      </c>
      <c r="F23" s="1"/>
      <c r="G23" s="1"/>
      <c r="H23" s="1"/>
      <c r="I23" s="1"/>
      <c r="J23" s="2"/>
      <c r="K23" s="2"/>
      <c r="L23" s="1"/>
      <c r="M23" s="2"/>
      <c r="N23" s="1"/>
      <c r="O23" s="2"/>
      <c r="P23" s="2"/>
      <c r="Q23" s="2"/>
      <c r="U23" s="2"/>
      <c r="V23" s="2"/>
      <c r="W23" s="2"/>
      <c r="X23" s="2"/>
      <c r="Y23" s="2"/>
      <c r="Z23" s="2"/>
      <c r="AA23" s="2"/>
      <c r="AB23" s="2"/>
      <c r="AC23" s="2"/>
      <c r="AD23" s="1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customFormat="false" ht="12.8" hidden="false" customHeight="false" outlineLevel="0" collapsed="false">
      <c r="A24" s="4"/>
      <c r="B24" s="4"/>
      <c r="C24" s="1" t="n">
        <v>291.02</v>
      </c>
      <c r="D24" s="2" t="n">
        <v>7.8</v>
      </c>
      <c r="E24" s="1" t="n">
        <v>0.0763186603728153</v>
      </c>
      <c r="F24" s="1"/>
      <c r="G24" s="1"/>
      <c r="H24" s="1"/>
      <c r="I24" s="1"/>
      <c r="J24" s="2"/>
      <c r="K24" s="1"/>
      <c r="L24" s="1"/>
      <c r="M24" s="2"/>
      <c r="N24" s="1"/>
      <c r="O24" s="2"/>
      <c r="P24" s="2"/>
      <c r="Q24" s="13" t="n">
        <f aca="false">-9.63*10^-6</f>
        <v>-9.63E-006</v>
      </c>
      <c r="U24" s="2"/>
      <c r="V24" s="2"/>
      <c r="W24" s="2"/>
      <c r="X24" s="2"/>
      <c r="Y24" s="2"/>
      <c r="Z24" s="18" t="n">
        <v>2.11E-005</v>
      </c>
      <c r="AA24" s="2"/>
      <c r="AB24" s="2"/>
      <c r="AC24" s="2"/>
      <c r="AD24" s="2"/>
      <c r="AE24" s="2"/>
      <c r="AF24" s="2"/>
      <c r="AG24" s="2"/>
      <c r="AH24" s="2"/>
      <c r="AI24" s="2"/>
      <c r="AJ24" s="18" t="n">
        <v>-1.4E-005</v>
      </c>
      <c r="AK24" s="2"/>
      <c r="AL24" s="2"/>
      <c r="AM24" s="2"/>
      <c r="AN24" s="2"/>
      <c r="AO24" s="2"/>
      <c r="AP24" s="2"/>
      <c r="AQ24" s="2"/>
      <c r="AR24" s="18" t="n">
        <v>8.84E-005</v>
      </c>
    </row>
    <row r="25" customFormat="false" ht="12.8" hidden="false" customHeight="false" outlineLevel="0" collapsed="false">
      <c r="A25" s="2"/>
      <c r="B25" s="1"/>
      <c r="C25" s="1" t="n">
        <v>293.06</v>
      </c>
      <c r="D25" s="2" t="n">
        <v>7.64</v>
      </c>
      <c r="E25" s="1" t="n">
        <v>0.0940507682435429</v>
      </c>
      <c r="F25" s="1"/>
      <c r="G25" s="1"/>
      <c r="H25" s="1"/>
      <c r="I25" s="1"/>
      <c r="J25" s="2"/>
      <c r="K25" s="1"/>
      <c r="L25" s="1"/>
      <c r="M25" s="1"/>
      <c r="N25" s="1"/>
      <c r="O25" s="2"/>
      <c r="P25" s="2"/>
      <c r="Q25" s="2"/>
      <c r="U25" s="4"/>
      <c r="V25" s="1"/>
      <c r="W25" s="2"/>
      <c r="X25" s="1"/>
      <c r="Y25" s="2"/>
      <c r="Z25" s="2"/>
      <c r="AA25" s="1"/>
      <c r="AB25" s="2"/>
      <c r="AC25" s="2"/>
      <c r="AD25" s="4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customFormat="false" ht="12.8" hidden="false" customHeight="false" outlineLevel="0" collapsed="false">
      <c r="A26" s="2"/>
      <c r="B26" s="1"/>
      <c r="C26" s="1" t="n">
        <v>295.04</v>
      </c>
      <c r="D26" s="2" t="n">
        <v>7.46</v>
      </c>
      <c r="E26" s="1" t="n">
        <v>0.126349485790949</v>
      </c>
      <c r="F26" s="1"/>
      <c r="G26" s="1"/>
      <c r="H26" s="1"/>
      <c r="I26" s="1"/>
      <c r="J26" s="2"/>
      <c r="K26" s="2"/>
      <c r="L26" s="1"/>
      <c r="M26" s="2"/>
      <c r="N26" s="1"/>
      <c r="O26" s="2"/>
      <c r="P26" s="2"/>
      <c r="Q26" s="2"/>
      <c r="U26" s="2"/>
      <c r="V26" s="2"/>
      <c r="W26" s="2"/>
      <c r="X26" s="1"/>
      <c r="Y26" s="1"/>
      <c r="Z26" s="2"/>
      <c r="AA26" s="4"/>
      <c r="AB26" s="4"/>
      <c r="AC26" s="1"/>
      <c r="AD26" s="4"/>
      <c r="AE26" s="4"/>
      <c r="AF26" s="1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customFormat="false" ht="12.8" hidden="false" customHeight="false" outlineLevel="0" collapsed="false">
      <c r="A27" s="2"/>
      <c r="B27" s="2"/>
      <c r="C27" s="2" t="n">
        <v>297.01</v>
      </c>
      <c r="D27" s="2" t="n">
        <v>7.2665</v>
      </c>
      <c r="E27" s="2" t="n">
        <v>0.197434239003477</v>
      </c>
      <c r="F27" s="2"/>
      <c r="G27" s="2"/>
      <c r="H27" s="2"/>
      <c r="I27" s="2"/>
      <c r="J27" s="2"/>
      <c r="K27" s="1"/>
      <c r="L27" s="1"/>
      <c r="M27" s="2"/>
      <c r="N27" s="1"/>
      <c r="O27" s="2"/>
      <c r="P27" s="2"/>
      <c r="Q27" s="2"/>
      <c r="U27" s="2"/>
      <c r="V27" s="2"/>
      <c r="W27" s="2"/>
      <c r="X27" s="2"/>
      <c r="Y27" s="2"/>
      <c r="Z27" s="2"/>
      <c r="AA27" s="2"/>
      <c r="AB27" s="2"/>
      <c r="AC27" s="2"/>
      <c r="AD27" s="1"/>
      <c r="AE27" s="1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customFormat="false" ht="12.8" hidden="false" customHeight="false" outlineLevel="0" collapsed="false">
      <c r="A28" s="2"/>
      <c r="B28" s="2"/>
      <c r="C28" s="2" t="n">
        <v>299</v>
      </c>
      <c r="D28" s="2" t="n">
        <v>7.1542</v>
      </c>
      <c r="E28" s="2" t="n">
        <v>0.290230858331642</v>
      </c>
      <c r="F28" s="2"/>
      <c r="G28" s="2"/>
      <c r="H28" s="2"/>
      <c r="I28" s="2"/>
      <c r="J28" s="2"/>
      <c r="K28" s="1"/>
      <c r="L28" s="1"/>
      <c r="M28" s="1"/>
      <c r="N28" s="12" t="n">
        <v>0.00028</v>
      </c>
      <c r="O28" s="2" t="s">
        <v>32</v>
      </c>
      <c r="P28" s="2"/>
      <c r="Q28" s="2"/>
      <c r="U28" s="4"/>
      <c r="V28" s="1"/>
      <c r="W28" s="2"/>
      <c r="X28" s="2"/>
      <c r="Y28" s="2"/>
      <c r="Z28" s="2"/>
      <c r="AA28" s="2"/>
      <c r="AB28" s="2"/>
      <c r="AC28" s="2"/>
      <c r="AD28" s="1"/>
      <c r="AE28" s="1"/>
      <c r="AF28" s="2"/>
      <c r="AG28" s="2"/>
      <c r="AH28" s="1"/>
      <c r="AI28" s="2"/>
      <c r="AJ28" s="2"/>
      <c r="AK28" s="2"/>
      <c r="AL28" s="2"/>
      <c r="AM28" s="2"/>
      <c r="AN28" s="2"/>
      <c r="AO28" s="2"/>
      <c r="AP28" s="2"/>
      <c r="AQ28" s="2"/>
    </row>
    <row r="29" customFormat="false" ht="12.8" hidden="false" customHeight="false" outlineLevel="0" collapsed="false">
      <c r="A29" s="2"/>
      <c r="B29" s="2"/>
      <c r="C29" s="2" t="n">
        <v>301</v>
      </c>
      <c r="D29" s="2" t="n">
        <v>7.1027</v>
      </c>
      <c r="E29" s="2" t="n">
        <v>0.368826401582281</v>
      </c>
      <c r="F29" s="2"/>
      <c r="G29" s="2"/>
      <c r="H29" s="2"/>
      <c r="I29" s="2"/>
      <c r="J29" s="2"/>
      <c r="K29" s="2"/>
      <c r="L29" s="1"/>
      <c r="M29" s="2"/>
      <c r="N29" s="2"/>
      <c r="O29" s="19" t="n">
        <f aca="false">N28*2*R4/R6</f>
        <v>8.96000000000002E-006</v>
      </c>
      <c r="P29" s="2"/>
      <c r="Q29" s="2"/>
      <c r="U29" s="2"/>
      <c r="V29" s="2"/>
      <c r="W29" s="2"/>
      <c r="X29" s="2"/>
      <c r="Y29" s="2"/>
      <c r="Z29" s="2"/>
      <c r="AA29" s="2"/>
      <c r="AB29" s="2"/>
      <c r="AC29" s="2"/>
      <c r="AD29" s="1"/>
      <c r="AE29" s="1"/>
      <c r="AF29" s="2"/>
      <c r="AG29" s="2"/>
      <c r="AH29" s="1"/>
      <c r="AI29" s="1"/>
      <c r="AJ29" s="1"/>
      <c r="AK29" s="2"/>
      <c r="AL29" s="2"/>
      <c r="AM29" s="2"/>
      <c r="AN29" s="2"/>
      <c r="AO29" s="2"/>
      <c r="AP29" s="2"/>
      <c r="AQ29" s="2"/>
    </row>
    <row r="30" customFormat="false" ht="12.65" hidden="false" customHeight="true" outlineLevel="0" collapsed="false">
      <c r="A30" s="2"/>
      <c r="B30" s="2"/>
      <c r="C30" s="2" t="n">
        <v>303.06</v>
      </c>
      <c r="D30" s="2" t="n">
        <v>7.067</v>
      </c>
      <c r="E30" s="2" t="n">
        <v>0.45342336362546</v>
      </c>
      <c r="F30" s="2"/>
      <c r="G30" s="2"/>
      <c r="H30" s="2"/>
      <c r="I30" s="2"/>
      <c r="J30" s="2"/>
      <c r="K30" s="2"/>
      <c r="L30" s="1"/>
      <c r="M30" s="2"/>
      <c r="N30" s="1"/>
      <c r="O30" s="2"/>
      <c r="P30" s="2"/>
      <c r="Q30" s="2"/>
      <c r="U30" s="1"/>
      <c r="V30" s="1"/>
      <c r="W30" s="2"/>
      <c r="X30" s="2"/>
      <c r="Y30" s="2"/>
      <c r="Z30" s="2"/>
      <c r="AA30" s="2"/>
      <c r="AB30" s="2"/>
      <c r="AC30" s="2"/>
      <c r="AD30" s="1"/>
      <c r="AE30" s="1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2.8" hidden="false" customHeight="false" outlineLevel="0" collapsed="false">
      <c r="A31" s="2"/>
      <c r="B31" s="2"/>
      <c r="C31" s="2" t="n">
        <v>305</v>
      </c>
      <c r="D31" s="2" t="n">
        <v>7.0501</v>
      </c>
      <c r="E31" s="2" t="n">
        <v>0.508423207430818</v>
      </c>
      <c r="F31" s="2"/>
      <c r="G31" s="2"/>
      <c r="H31" s="2"/>
      <c r="I31" s="2"/>
      <c r="J31" s="2"/>
      <c r="K31" s="2"/>
      <c r="L31" s="1"/>
      <c r="M31" s="2"/>
      <c r="N31" s="1"/>
      <c r="O31" s="2"/>
      <c r="P31" s="2"/>
      <c r="Q31" s="2"/>
      <c r="U31" s="1"/>
      <c r="V31" s="1"/>
      <c r="W31" s="1"/>
      <c r="X31" s="1"/>
      <c r="Y31" s="2"/>
      <c r="Z31" s="2"/>
      <c r="AA31" s="2"/>
      <c r="AB31" s="2"/>
      <c r="AC31" s="2"/>
      <c r="AD31" s="1"/>
      <c r="AE31" s="1"/>
      <c r="AF31" s="1"/>
      <c r="AG31" s="2"/>
      <c r="AH31" s="1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2.8" hidden="false" customHeight="false" outlineLevel="0" collapsed="false">
      <c r="A32" s="2"/>
      <c r="B32" s="2"/>
      <c r="C32" s="2" t="n">
        <v>307</v>
      </c>
      <c r="D32" s="2" t="n">
        <v>7.0349</v>
      </c>
      <c r="E32" s="2" t="n">
        <v>0.570524414117494</v>
      </c>
      <c r="F32" s="2"/>
      <c r="G32" s="2"/>
      <c r="H32" s="2"/>
      <c r="I32" s="2"/>
      <c r="J32" s="2"/>
      <c r="K32" s="2"/>
      <c r="L32" s="2"/>
      <c r="M32" s="2"/>
      <c r="N32" s="1"/>
      <c r="O32" s="2"/>
      <c r="P32" s="2"/>
      <c r="Q32" s="2"/>
      <c r="U32" s="1"/>
      <c r="V32" s="1"/>
      <c r="W32" s="2"/>
      <c r="X32" s="1"/>
      <c r="Y32" s="2"/>
      <c r="Z32" s="2"/>
      <c r="AA32" s="2"/>
      <c r="AB32" s="2"/>
      <c r="AC32" s="2"/>
      <c r="AD32" s="1"/>
      <c r="AE32" s="1"/>
      <c r="AF32" s="2"/>
      <c r="AG32" s="2"/>
      <c r="AH32" s="1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2.8" hidden="false" customHeight="false" outlineLevel="0" collapsed="false">
      <c r="A33" s="2"/>
      <c r="B33" s="2"/>
      <c r="C33" s="2" t="n">
        <v>309</v>
      </c>
      <c r="D33" s="2" t="n">
        <v>7.0231</v>
      </c>
      <c r="E33" s="2" t="n">
        <v>0.630163810389329</v>
      </c>
      <c r="F33" s="2"/>
      <c r="G33" s="2"/>
      <c r="H33" s="2"/>
      <c r="I33" s="2"/>
      <c r="J33" s="2"/>
      <c r="K33" s="2"/>
      <c r="L33" s="2"/>
      <c r="M33" s="2"/>
      <c r="N33" s="1"/>
      <c r="O33" s="2"/>
      <c r="P33" s="1"/>
      <c r="Q33" s="1"/>
      <c r="U33" s="1"/>
      <c r="V33" s="1"/>
      <c r="W33" s="1"/>
      <c r="X33" s="1"/>
      <c r="Y33" s="2"/>
      <c r="Z33" s="2"/>
      <c r="AA33" s="2"/>
      <c r="AB33" s="2"/>
      <c r="AC33" s="2"/>
      <c r="AD33" s="1"/>
      <c r="AE33" s="1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2.8" hidden="false" customHeight="false" outlineLevel="0" collapsed="false">
      <c r="A34" s="2"/>
      <c r="B34" s="2"/>
      <c r="C34" s="2" t="n">
        <v>311</v>
      </c>
      <c r="D34" s="2" t="n">
        <v>7.014</v>
      </c>
      <c r="E34" s="2" t="n">
        <v>0.685329861872589</v>
      </c>
      <c r="F34" s="2"/>
      <c r="G34" s="2"/>
      <c r="H34" s="2"/>
      <c r="I34" s="2"/>
      <c r="J34" s="2"/>
      <c r="K34" s="2"/>
      <c r="L34" s="2"/>
      <c r="M34" s="2"/>
      <c r="N34" s="1"/>
      <c r="O34" s="2"/>
      <c r="P34" s="1"/>
      <c r="Q34" s="1"/>
      <c r="U34" s="1"/>
      <c r="V34" s="1"/>
      <c r="W34" s="1"/>
      <c r="X34" s="1"/>
      <c r="Y34" s="2"/>
      <c r="Z34" s="2"/>
      <c r="AA34" s="2"/>
      <c r="AB34" s="2"/>
      <c r="AC34" s="2"/>
      <c r="AD34" s="1"/>
      <c r="AE34" s="1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2.8" hidden="false" customHeight="false" outlineLevel="0" collapsed="false">
      <c r="A35" s="1"/>
      <c r="B35" s="2"/>
      <c r="C35" s="2" t="n">
        <v>313</v>
      </c>
      <c r="D35" s="2" t="n">
        <v>7.0073</v>
      </c>
      <c r="E35" s="2" t="n">
        <v>0.732488766460717</v>
      </c>
      <c r="F35" s="2"/>
      <c r="G35" s="2"/>
      <c r="H35" s="2"/>
      <c r="I35" s="2"/>
      <c r="J35" s="2"/>
      <c r="K35" s="2"/>
      <c r="L35" s="1"/>
      <c r="M35" s="1"/>
      <c r="N35" s="1"/>
      <c r="O35" s="2"/>
      <c r="P35" s="1"/>
      <c r="Q35" s="1"/>
      <c r="U35" s="1"/>
      <c r="V35" s="1"/>
      <c r="W35" s="1"/>
      <c r="X35" s="1"/>
      <c r="Y35" s="2"/>
      <c r="Z35" s="2"/>
      <c r="AA35" s="2"/>
      <c r="AB35" s="2"/>
      <c r="AC35" s="2"/>
      <c r="AD35" s="1"/>
      <c r="AE35" s="1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2.8" hidden="false" customHeight="false" outlineLevel="0" collapsed="false">
      <c r="A36" s="1"/>
      <c r="B36" s="1"/>
      <c r="C36" s="1"/>
      <c r="D36" s="2"/>
      <c r="E36" s="1"/>
      <c r="F36" s="1"/>
      <c r="G36" s="1"/>
      <c r="H36" s="1"/>
      <c r="I36" s="1"/>
      <c r="J36" s="1"/>
      <c r="K36" s="2"/>
      <c r="L36" s="1"/>
      <c r="M36" s="1"/>
      <c r="N36" s="1"/>
      <c r="O36" s="2"/>
      <c r="P36" s="1"/>
      <c r="Q36" s="1"/>
      <c r="U36" s="1"/>
      <c r="V36" s="1"/>
      <c r="W36" s="1"/>
      <c r="X36" s="1"/>
      <c r="Y36" s="2"/>
      <c r="Z36" s="2"/>
      <c r="AA36" s="1"/>
      <c r="AB36" s="1"/>
      <c r="AC36" s="1"/>
      <c r="AD36" s="1"/>
      <c r="AE36" s="1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2.8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/>
      <c r="U37" s="1"/>
      <c r="V37" s="1"/>
      <c r="W37" s="1"/>
      <c r="X37" s="1"/>
      <c r="Y37" s="2"/>
      <c r="Z37" s="2"/>
      <c r="AA37" s="1"/>
      <c r="AB37" s="1"/>
      <c r="AC37" s="1"/>
      <c r="AD37" s="1"/>
      <c r="AE37" s="1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2.8" hidden="false" customHeight="false" outlineLevel="0" collapsed="false">
      <c r="A38" s="2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/>
      <c r="U38" s="1"/>
      <c r="V38" s="1"/>
      <c r="W38" s="1"/>
      <c r="X38" s="1"/>
      <c r="Y38" s="2"/>
      <c r="Z38" s="2"/>
      <c r="AA38" s="1"/>
      <c r="AB38" s="1"/>
      <c r="AC38" s="1"/>
      <c r="AD38" s="1"/>
      <c r="AE38" s="1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2.8" hidden="false" customHeight="false" outlineLevel="0" collapsed="false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  <c r="P39" s="1"/>
      <c r="Q39" s="1" t="s">
        <v>23</v>
      </c>
      <c r="R39" s="1" t="s">
        <v>24</v>
      </c>
      <c r="S39" s="20" t="s">
        <v>26</v>
      </c>
      <c r="U39" s="1"/>
      <c r="V39" s="1"/>
      <c r="W39" s="1"/>
      <c r="X39" s="1"/>
      <c r="Y39" s="2"/>
      <c r="Z39" s="2"/>
      <c r="AA39" s="1"/>
      <c r="AB39" s="1"/>
      <c r="AC39" s="1"/>
      <c r="AD39" s="1"/>
      <c r="AE39" s="1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2.8" hidden="false" customHeight="false" outlineLevel="0" collapsed="false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  <c r="P40" s="1"/>
      <c r="Q40" s="1" t="s">
        <v>12</v>
      </c>
      <c r="U40" s="1"/>
      <c r="V40" s="1"/>
      <c r="W40" s="1"/>
      <c r="X40" s="1"/>
      <c r="Y40" s="2"/>
      <c r="Z40" s="2"/>
      <c r="AA40" s="1"/>
      <c r="AB40" s="1"/>
      <c r="AC40" s="1"/>
      <c r="AD40" s="1"/>
      <c r="AE40" s="1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2.8" hidden="false" customHeight="false" outlineLevel="0" collapsed="false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1"/>
      <c r="Q41" s="2" t="n">
        <v>0.101251876401</v>
      </c>
      <c r="R41" s="2" t="n">
        <v>0.00269504788881634</v>
      </c>
      <c r="S41" s="21" t="n">
        <v>1.98133E-005</v>
      </c>
      <c r="U41" s="2"/>
      <c r="V41" s="2"/>
      <c r="W41" s="2"/>
      <c r="X41" s="2"/>
      <c r="Y41" s="2"/>
      <c r="Z41" s="2"/>
      <c r="AA41" s="1"/>
      <c r="AB41" s="1"/>
      <c r="AC41" s="1"/>
      <c r="AD41" s="1"/>
      <c r="AE41" s="1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2.8" hidden="false" customHeight="false" outlineLevel="0" collapsed="false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1"/>
      <c r="O42" s="1"/>
      <c r="P42" s="1"/>
      <c r="Q42" s="2" t="n">
        <v>0.116014490881</v>
      </c>
      <c r="R42" s="2" t="n">
        <v>0.00313855339090897</v>
      </c>
      <c r="S42" s="21" t="n">
        <v>2.971995E-005</v>
      </c>
      <c r="U42" s="1"/>
      <c r="V42" s="2"/>
      <c r="W42" s="1"/>
      <c r="X42" s="2"/>
      <c r="Y42" s="2"/>
      <c r="Z42" s="2"/>
      <c r="AA42" s="1"/>
      <c r="AB42" s="1"/>
      <c r="AC42" s="1"/>
      <c r="AD42" s="1"/>
      <c r="AE42" s="1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2.8" hidden="false" customHeight="false" outlineLevel="0" collapsed="false">
      <c r="A43" s="2"/>
      <c r="B43" s="1"/>
      <c r="C43" s="1"/>
      <c r="D43" s="1"/>
      <c r="E43" s="1"/>
      <c r="F43" s="1"/>
      <c r="G43" s="1"/>
      <c r="H43" s="1"/>
      <c r="I43" s="1"/>
      <c r="J43" s="4"/>
      <c r="K43" s="4"/>
      <c r="L43" s="1"/>
      <c r="M43" s="2"/>
      <c r="N43" s="1"/>
      <c r="O43" s="1"/>
      <c r="P43" s="1"/>
      <c r="Q43" s="2" t="n">
        <v>0.146401125376</v>
      </c>
      <c r="R43" s="2" t="n">
        <v>0.0040901640207287</v>
      </c>
      <c r="S43" s="22" t="n">
        <v>3.96266E-005</v>
      </c>
      <c r="U43" s="1"/>
      <c r="V43" s="1"/>
      <c r="W43" s="1"/>
      <c r="X43" s="2"/>
      <c r="Y43" s="2"/>
      <c r="Z43" s="2"/>
      <c r="AA43" s="1"/>
      <c r="AB43" s="1"/>
      <c r="AC43" s="1"/>
      <c r="AD43" s="1"/>
      <c r="AE43" s="1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2.8" hidden="false" customHeight="false" outlineLevel="0" collapsed="false">
      <c r="A44" s="2"/>
      <c r="B44" s="1"/>
      <c r="C44" s="1"/>
      <c r="D44" s="1"/>
      <c r="E44" s="1"/>
      <c r="F44" s="1"/>
      <c r="G44" s="1"/>
      <c r="H44" s="1"/>
      <c r="I44" s="1"/>
      <c r="J44" s="4"/>
      <c r="K44" s="4"/>
      <c r="L44" s="1"/>
      <c r="M44" s="2"/>
      <c r="N44" s="1"/>
      <c r="O44" s="1"/>
      <c r="P44" s="1"/>
      <c r="Q44" s="2" t="n">
        <v>0.2074347025</v>
      </c>
      <c r="R44" s="2" t="n">
        <v>0.00615256363096275</v>
      </c>
      <c r="S44" s="23" t="n">
        <v>5.94399E-005</v>
      </c>
      <c r="U44" s="1"/>
      <c r="V44" s="2"/>
      <c r="W44" s="2"/>
      <c r="X44" s="2"/>
      <c r="Y44" s="2"/>
      <c r="Z44" s="2"/>
      <c r="AA44" s="1"/>
      <c r="AB44" s="1"/>
      <c r="AC44" s="1"/>
      <c r="AD44" s="1"/>
      <c r="AE44" s="1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2.8" hidden="false" customHeight="false" outlineLevel="0" collapsed="false">
      <c r="A45" s="2"/>
      <c r="B45" s="2"/>
      <c r="C45" s="2"/>
      <c r="D45" s="2"/>
      <c r="E45" s="1"/>
      <c r="F45" s="1"/>
      <c r="G45" s="1"/>
      <c r="H45" s="1"/>
      <c r="I45" s="1"/>
      <c r="J45" s="1"/>
      <c r="K45" s="2"/>
      <c r="L45" s="2"/>
      <c r="M45" s="2"/>
      <c r="N45" s="1"/>
      <c r="O45" s="1"/>
      <c r="P45" s="2"/>
      <c r="Q45" s="2" t="n">
        <v>0.276123975625</v>
      </c>
      <c r="R45" s="2" t="n">
        <v>0.00870058935668657</v>
      </c>
      <c r="S45" s="21" t="n">
        <v>7.92532E-005</v>
      </c>
      <c r="U45" s="2"/>
      <c r="V45" s="2"/>
      <c r="W45" s="2"/>
      <c r="X45" s="2"/>
      <c r="Y45" s="2"/>
      <c r="Z45" s="2"/>
      <c r="AA45" s="1"/>
      <c r="AB45" s="1"/>
      <c r="AC45" s="1"/>
      <c r="AD45" s="1"/>
      <c r="AE45" s="1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2.8" hidden="false" customHeight="false" outlineLevel="0" collapsed="false">
      <c r="A46" s="2"/>
      <c r="B46" s="2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1"/>
      <c r="Q46" s="2" t="n">
        <v>0.357964086601</v>
      </c>
      <c r="R46" s="2" t="n">
        <v>0.0120277186178785</v>
      </c>
      <c r="S46" s="22" t="n">
        <v>0.00010897315</v>
      </c>
      <c r="U46" s="1"/>
      <c r="V46" s="1"/>
      <c r="W46" s="2"/>
      <c r="X46" s="2"/>
      <c r="Y46" s="2"/>
      <c r="Z46" s="2"/>
      <c r="AA46" s="1"/>
      <c r="AB46" s="1"/>
      <c r="AC46" s="1"/>
      <c r="AD46" s="1"/>
      <c r="AE46" s="1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2.8" hidden="false" customHeight="false" outlineLevel="0" collapsed="false">
      <c r="A47" s="2"/>
      <c r="B47" s="1"/>
      <c r="C47" s="24"/>
      <c r="D47" s="1"/>
      <c r="E47" s="1"/>
      <c r="F47" s="1"/>
      <c r="G47" s="1"/>
      <c r="H47" s="1"/>
      <c r="I47" s="1"/>
      <c r="J47" s="4"/>
      <c r="K47" s="4"/>
      <c r="L47" s="1"/>
      <c r="M47" s="2"/>
      <c r="N47" s="2"/>
      <c r="O47" s="2"/>
      <c r="P47" s="1"/>
      <c r="Q47" s="2" t="n">
        <v>0.446659642276</v>
      </c>
      <c r="R47" s="2" t="n">
        <v>0.0159653315755666</v>
      </c>
      <c r="S47" s="22" t="n">
        <v>0.00012878645</v>
      </c>
      <c r="U47" s="2"/>
      <c r="V47" s="2"/>
      <c r="W47" s="2"/>
      <c r="X47" s="2"/>
      <c r="Y47" s="2"/>
      <c r="Z47" s="2"/>
      <c r="AA47" s="1"/>
      <c r="AB47" s="1"/>
      <c r="AC47" s="1"/>
      <c r="AD47" s="1"/>
      <c r="AE47" s="1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2.8" hidden="false" customHeight="false" outlineLevel="0" collapsed="false">
      <c r="A48" s="2"/>
      <c r="B48" s="24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2"/>
      <c r="P48" s="1"/>
      <c r="Q48" s="2" t="n">
        <v>0.545162199201</v>
      </c>
      <c r="R48" s="2" t="n">
        <v>0.0207137670414541</v>
      </c>
      <c r="S48" s="21" t="n">
        <v>0.0001585064</v>
      </c>
      <c r="U48" s="2"/>
      <c r="V48" s="2"/>
      <c r="W48" s="2"/>
      <c r="X48" s="2"/>
      <c r="Y48" s="2"/>
      <c r="Z48" s="2"/>
      <c r="AA48" s="1"/>
      <c r="AB48" s="1"/>
      <c r="AC48" s="1"/>
      <c r="AD48" s="1"/>
      <c r="AE48" s="1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2.8" hidden="false" customHeight="true" outlineLevel="0" collapsed="false">
      <c r="A49" s="2"/>
      <c r="B49" s="2"/>
      <c r="C49" s="2"/>
      <c r="D49" s="2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1"/>
      <c r="Q49" s="2" t="n">
        <v>0.648951080625</v>
      </c>
      <c r="R49" s="2" t="n">
        <v>0.0261152823843204</v>
      </c>
      <c r="S49" s="22" t="n">
        <v>0.0001783197</v>
      </c>
      <c r="U49" s="1"/>
      <c r="V49" s="1"/>
      <c r="W49" s="1"/>
      <c r="X49" s="2"/>
      <c r="Y49" s="2"/>
      <c r="Z49" s="1"/>
      <c r="AA49" s="1"/>
      <c r="AB49" s="1"/>
      <c r="AC49" s="1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2.8" hidden="false" customHeight="false" outlineLevel="0" collapsed="false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7"/>
      <c r="O50" s="8"/>
      <c r="P50" s="2"/>
      <c r="Q50" s="2" t="n">
        <v>0.76667536</v>
      </c>
      <c r="R50" s="2" t="n">
        <v>0.0327038942550517</v>
      </c>
      <c r="S50" s="22" t="n">
        <v>0.00020803965</v>
      </c>
      <c r="U50" s="2"/>
      <c r="V50" s="8"/>
      <c r="W50" s="7"/>
      <c r="X50" s="7"/>
      <c r="Y50" s="7"/>
      <c r="Z50" s="25"/>
      <c r="AA50" s="26"/>
      <c r="AB50" s="7"/>
      <c r="AC50" s="8"/>
      <c r="AD50" s="7"/>
      <c r="AE50" s="7"/>
      <c r="AF50" s="7"/>
      <c r="AG50" s="25"/>
      <c r="AH50" s="26"/>
      <c r="AI50" s="7"/>
      <c r="AJ50" s="2"/>
      <c r="AK50" s="2"/>
      <c r="AL50" s="2"/>
      <c r="AM50" s="2"/>
      <c r="AN50" s="2"/>
      <c r="AO50" s="2"/>
      <c r="AP50" s="2"/>
      <c r="AQ50" s="2"/>
    </row>
    <row r="51" customFormat="false" ht="12.8" hidden="false" customHeight="false" outlineLevel="0" collapsed="false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"/>
      <c r="O51" s="7"/>
      <c r="P51" s="2"/>
      <c r="Q51" s="2" t="s">
        <v>33</v>
      </c>
      <c r="R51" s="2"/>
      <c r="S51" s="22"/>
      <c r="U51" s="2"/>
      <c r="V51" s="7"/>
      <c r="W51" s="24"/>
      <c r="X51" s="24"/>
      <c r="Y51" s="1"/>
      <c r="Z51" s="24"/>
      <c r="AA51" s="24"/>
      <c r="AB51" s="1"/>
      <c r="AC51" s="7"/>
      <c r="AD51" s="24"/>
      <c r="AE51" s="24"/>
      <c r="AF51" s="1"/>
      <c r="AG51" s="24"/>
      <c r="AH51" s="24"/>
      <c r="AI51" s="1"/>
      <c r="AJ51" s="2"/>
      <c r="AK51" s="2"/>
      <c r="AL51" s="2"/>
      <c r="AM51" s="2"/>
      <c r="AN51" s="2"/>
      <c r="AO51" s="2"/>
      <c r="AP51" s="2"/>
      <c r="AQ51" s="2"/>
    </row>
    <row r="52" customFormat="false" ht="12.8" hidden="false" customHeight="false" outlineLevel="0" collapsed="false">
      <c r="A52" s="2"/>
      <c r="B52" s="2"/>
      <c r="C52" s="2"/>
      <c r="D52" s="2"/>
      <c r="E52" s="1"/>
      <c r="F52" s="1"/>
      <c r="G52" s="1"/>
      <c r="H52" s="1"/>
      <c r="I52" s="1"/>
      <c r="J52" s="1"/>
      <c r="K52" s="2"/>
      <c r="L52" s="2"/>
      <c r="M52" s="2"/>
      <c r="N52" s="1"/>
      <c r="O52" s="7"/>
      <c r="P52" s="1"/>
      <c r="Q52" s="2" t="n">
        <f aca="false">AB8</f>
        <v>0.060208890625</v>
      </c>
      <c r="R52" s="2" t="n">
        <f aca="false">AC8</f>
        <v>0.00152883462656787</v>
      </c>
      <c r="S52" s="22" t="n">
        <f aca="false">AE8</f>
        <v>3.96266E-005</v>
      </c>
      <c r="U52" s="2"/>
      <c r="V52" s="7"/>
      <c r="W52" s="24"/>
      <c r="X52" s="24"/>
      <c r="Y52" s="1"/>
      <c r="Z52" s="24"/>
      <c r="AA52" s="24"/>
      <c r="AB52" s="1"/>
      <c r="AC52" s="7"/>
      <c r="AD52" s="24"/>
      <c r="AE52" s="24"/>
      <c r="AF52" s="1"/>
      <c r="AG52" s="24"/>
      <c r="AH52" s="24"/>
      <c r="AI52" s="1"/>
      <c r="AJ52" s="2"/>
      <c r="AK52" s="2"/>
      <c r="AL52" s="2"/>
      <c r="AM52" s="2"/>
      <c r="AN52" s="2"/>
      <c r="AO52" s="2"/>
      <c r="AP52" s="2"/>
      <c r="AQ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1"/>
      <c r="J53" s="1"/>
      <c r="K53" s="2"/>
      <c r="L53" s="2"/>
      <c r="M53" s="2"/>
      <c r="N53" s="8"/>
      <c r="O53" s="8"/>
      <c r="P53" s="1"/>
      <c r="Q53" s="2" t="n">
        <f aca="false">AB9</f>
        <v>0.09947716</v>
      </c>
      <c r="R53" s="2" t="n">
        <f aca="false">AC9</f>
        <v>0.00264257475951394</v>
      </c>
      <c r="S53" s="22" t="n">
        <f aca="false">AE9</f>
        <v>5.94399E-005</v>
      </c>
      <c r="U53" s="1"/>
      <c r="V53" s="8"/>
      <c r="W53" s="25"/>
      <c r="X53" s="25"/>
      <c r="Y53" s="8"/>
      <c r="Z53" s="25"/>
      <c r="AA53" s="25"/>
      <c r="AB53" s="8"/>
      <c r="AC53" s="8"/>
      <c r="AD53" s="25"/>
      <c r="AE53" s="25"/>
      <c r="AF53" s="8"/>
      <c r="AG53" s="25"/>
      <c r="AH53" s="25"/>
      <c r="AI53" s="8"/>
      <c r="AJ53" s="2"/>
      <c r="AK53" s="2"/>
      <c r="AL53" s="2"/>
      <c r="AM53" s="2"/>
      <c r="AN53" s="2"/>
      <c r="AO53" s="2"/>
      <c r="AP53" s="2"/>
      <c r="AQ53" s="2"/>
    </row>
    <row r="54" customFormat="false" ht="12.8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 t="n">
        <f aca="false">AB10</f>
        <v>0.148552430625</v>
      </c>
      <c r="R54" s="2" t="n">
        <f aca="false">AC10</f>
        <v>0.00415947468929965</v>
      </c>
      <c r="S54" s="22" t="n">
        <f aca="false">AE10</f>
        <v>9.90665E-005</v>
      </c>
      <c r="U54" s="1"/>
      <c r="V54" s="1"/>
      <c r="W54" s="1"/>
      <c r="X54" s="1"/>
      <c r="Y54" s="1"/>
      <c r="Z54" s="1"/>
      <c r="AA54" s="1"/>
      <c r="AB54" s="1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1"/>
      <c r="I55" s="1"/>
      <c r="J55" s="2"/>
      <c r="K55" s="2"/>
      <c r="L55" s="2"/>
      <c r="M55" s="2"/>
      <c r="N55" s="2"/>
      <c r="O55" s="1"/>
      <c r="P55" s="1"/>
      <c r="Q55" s="2" t="n">
        <f aca="false">AB11</f>
        <v>0.2074347025</v>
      </c>
      <c r="R55" s="2" t="n">
        <f aca="false">AC11</f>
        <v>0.00615256363096275</v>
      </c>
      <c r="S55" s="22" t="n">
        <f aca="false">AE11</f>
        <v>0.0001386931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1"/>
      <c r="I56" s="1"/>
      <c r="J56" s="1"/>
      <c r="K56" s="2"/>
      <c r="L56" s="2"/>
      <c r="M56" s="2"/>
      <c r="N56" s="2"/>
      <c r="O56" s="1"/>
      <c r="P56" s="1"/>
      <c r="Q56" s="2" t="n">
        <f aca="false">AB12</f>
        <v>0.276123975625</v>
      </c>
      <c r="R56" s="2" t="n">
        <f aca="false">AC12</f>
        <v>0.00870058935668657</v>
      </c>
      <c r="S56" s="22" t="n">
        <f aca="false">AE12</f>
        <v>0.0001783197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1"/>
      <c r="I57" s="1"/>
      <c r="J57" s="1"/>
      <c r="K57" s="2"/>
      <c r="L57" s="2"/>
      <c r="M57" s="2"/>
      <c r="N57" s="2"/>
      <c r="O57" s="1"/>
      <c r="P57" s="1"/>
      <c r="Q57" s="2" t="n">
        <f aca="false">AB13</f>
        <v>0.35462025</v>
      </c>
      <c r="R57" s="2" t="n">
        <f aca="false">AC13</f>
        <v>0.0118858635819651</v>
      </c>
      <c r="S57" s="22" t="n">
        <f aca="false">AE13</f>
        <v>0.00022785295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2.8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 t="n">
        <f aca="false">AB14</f>
        <v>0.442923525625</v>
      </c>
      <c r="R58" s="2" t="n">
        <f aca="false">AC14</f>
        <v>0.0157928325596983</v>
      </c>
      <c r="S58" s="22" t="n">
        <f aca="false">AE14</f>
        <v>0.00028729285</v>
      </c>
      <c r="U58" s="1"/>
      <c r="V58" s="1"/>
      <c r="W58" s="1"/>
      <c r="X58" s="1"/>
      <c r="Y58" s="1"/>
      <c r="Z58" s="1"/>
      <c r="AA58" s="1"/>
      <c r="AB58" s="1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1"/>
      <c r="I59" s="2"/>
      <c r="J59" s="2"/>
      <c r="K59" s="2"/>
      <c r="L59" s="2"/>
      <c r="M59" s="2"/>
      <c r="N59" s="2"/>
      <c r="O59" s="1"/>
      <c r="P59" s="2"/>
      <c r="Q59" s="2" t="n">
        <f aca="false">AB15</f>
        <v>0.5410338025</v>
      </c>
      <c r="R59" s="2" t="n">
        <f aca="false">AC15</f>
        <v>0.020507179559116</v>
      </c>
      <c r="S59" s="22" t="n">
        <f aca="false">AE15</f>
        <v>0.00034673275</v>
      </c>
      <c r="U59" s="1"/>
      <c r="V59" s="1"/>
      <c r="W59" s="1"/>
      <c r="X59" s="1"/>
      <c r="Y59" s="1"/>
      <c r="Z59" s="1"/>
      <c r="AA59" s="1"/>
      <c r="AB59" s="1"/>
      <c r="AC59" s="1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1"/>
      <c r="I60" s="1"/>
      <c r="J60" s="1"/>
      <c r="K60" s="2"/>
      <c r="L60" s="2"/>
      <c r="M60" s="2"/>
      <c r="N60" s="2"/>
      <c r="O60" s="1"/>
      <c r="P60" s="1"/>
      <c r="Q60" s="2" t="n">
        <f aca="false">AB16</f>
        <v>0.653471757376</v>
      </c>
      <c r="R60" s="2" t="n">
        <f aca="false">AC16</f>
        <v>0.0263594228269666</v>
      </c>
      <c r="S60" s="22" t="n">
        <f aca="false">AE16</f>
        <v>0.00040617265</v>
      </c>
      <c r="U60" s="2"/>
      <c r="V60" s="1"/>
      <c r="W60" s="1"/>
      <c r="X60" s="1"/>
      <c r="Y60" s="2"/>
      <c r="Z60" s="2"/>
      <c r="AA60" s="2"/>
      <c r="AB60" s="2"/>
      <c r="AC60" s="1"/>
      <c r="AD60" s="1"/>
      <c r="AE60" s="1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2.8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 t="n">
        <f aca="false">AB17</f>
        <v>0.781461304009</v>
      </c>
      <c r="R61" s="2" t="n">
        <f aca="false">AC17</f>
        <v>0.03356454551466</v>
      </c>
      <c r="S61" s="22" t="n">
        <f aca="false">AE17</f>
        <v>0.00046561255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2"/>
      <c r="G62" s="2"/>
      <c r="H62" s="1"/>
      <c r="I62" s="2"/>
      <c r="J62" s="2"/>
      <c r="K62" s="2"/>
      <c r="L62" s="2"/>
      <c r="M62" s="2"/>
      <c r="N62" s="2"/>
      <c r="O62" s="1"/>
      <c r="P62" s="2"/>
      <c r="Q62" s="1" t="s">
        <v>16</v>
      </c>
      <c r="R62" s="2"/>
      <c r="S62" s="22"/>
      <c r="U62" s="2"/>
      <c r="V62" s="1"/>
      <c r="W62" s="2"/>
      <c r="X62" s="2"/>
      <c r="Y62" s="2"/>
      <c r="Z62" s="2"/>
      <c r="AA62" s="2"/>
      <c r="AB62" s="2"/>
      <c r="AC62" s="1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1"/>
      <c r="I63" s="1"/>
      <c r="J63" s="1"/>
      <c r="K63" s="2"/>
      <c r="L63" s="2"/>
      <c r="M63" s="2"/>
      <c r="N63" s="2"/>
      <c r="O63" s="1"/>
      <c r="P63" s="1"/>
      <c r="Q63" s="1" t="n">
        <f aca="false">AL8</f>
        <v>0.047247543225</v>
      </c>
      <c r="R63" s="1" t="n">
        <f aca="false">AM8</f>
        <v>0.00118144265058764</v>
      </c>
      <c r="S63" s="21" t="n">
        <f aca="false">AO8</f>
        <v>1.98133E-005</v>
      </c>
      <c r="U63" s="2"/>
      <c r="V63" s="1"/>
      <c r="W63" s="1"/>
      <c r="X63" s="1"/>
      <c r="Y63" s="2"/>
      <c r="Z63" s="2"/>
      <c r="AA63" s="2"/>
      <c r="AB63" s="2"/>
      <c r="AC63" s="1"/>
      <c r="AD63" s="1"/>
      <c r="AE63" s="1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2.8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" t="n">
        <f aca="false">AL9</f>
        <v>0.09947716</v>
      </c>
      <c r="R64" s="1" t="n">
        <f aca="false">AM9</f>
        <v>0.00264257475951394</v>
      </c>
      <c r="S64" s="21" t="n">
        <f aca="false">AO9</f>
        <v>5.94399E-005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2.8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" t="n">
        <f aca="false">AL10</f>
        <v>0.148552430625</v>
      </c>
      <c r="R65" s="1" t="n">
        <f aca="false">AM10</f>
        <v>0.00415947468929965</v>
      </c>
      <c r="S65" s="21" t="n">
        <f aca="false">AO10</f>
        <v>8.915985E-005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1"/>
      <c r="I66" s="2"/>
      <c r="J66" s="2"/>
      <c r="K66" s="2"/>
      <c r="L66" s="2"/>
      <c r="M66" s="2"/>
      <c r="N66" s="2"/>
      <c r="O66" s="1"/>
      <c r="P66" s="2"/>
      <c r="Q66" s="1" t="n">
        <f aca="false">AL11</f>
        <v>0.2074347025</v>
      </c>
      <c r="R66" s="1" t="n">
        <f aca="false">AM11</f>
        <v>0.00615256363096275</v>
      </c>
      <c r="S66" s="21" t="n">
        <f aca="false">AO11</f>
        <v>0.0001386931</v>
      </c>
      <c r="T66" s="21"/>
      <c r="U66" s="2"/>
      <c r="V66" s="1"/>
      <c r="W66" s="2"/>
      <c r="X66" s="2"/>
      <c r="Y66" s="2"/>
      <c r="Z66" s="2"/>
      <c r="AA66" s="2"/>
      <c r="AB66" s="2"/>
      <c r="AC66" s="1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2"/>
      <c r="G67" s="2"/>
      <c r="H67" s="1"/>
      <c r="I67" s="1"/>
      <c r="J67" s="1"/>
      <c r="K67" s="2"/>
      <c r="L67" s="2"/>
      <c r="M67" s="2"/>
      <c r="N67" s="2"/>
      <c r="O67" s="1"/>
      <c r="P67" s="1"/>
      <c r="Q67" s="1" t="n">
        <f aca="false">AL12</f>
        <v>0.276123975625</v>
      </c>
      <c r="R67" s="1" t="n">
        <f aca="false">AM12</f>
        <v>0.00870058935668657</v>
      </c>
      <c r="S67" s="21" t="n">
        <f aca="false">AO12</f>
        <v>0.00018822635</v>
      </c>
      <c r="T67" s="21"/>
      <c r="U67" s="2"/>
      <c r="V67" s="1"/>
      <c r="W67" s="1"/>
      <c r="X67" s="1"/>
      <c r="Y67" s="2"/>
      <c r="Z67" s="2"/>
      <c r="AA67" s="2"/>
      <c r="AB67" s="2"/>
      <c r="AC67" s="1"/>
      <c r="AD67" s="1"/>
      <c r="AE67" s="1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2.8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" t="n">
        <f aca="false">AL13</f>
        <v>0.351292104601</v>
      </c>
      <c r="R68" s="1" t="n">
        <f aca="false">AM13</f>
        <v>0.0117451630991404</v>
      </c>
      <c r="S68" s="21" t="n">
        <f aca="false">AO13</f>
        <v>0.0002377596</v>
      </c>
      <c r="T68" s="21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2.8" hidden="false" customHeight="true" outlineLevel="0" collapsed="false">
      <c r="A69" s="2"/>
      <c r="B69" s="2"/>
      <c r="C69" s="2"/>
      <c r="D69" s="2"/>
      <c r="E69" s="2"/>
      <c r="F69" s="2"/>
      <c r="G69" s="2"/>
      <c r="H69" s="1"/>
      <c r="I69" s="2"/>
      <c r="J69" s="2"/>
      <c r="K69" s="2"/>
      <c r="L69" s="2"/>
      <c r="M69" s="2"/>
      <c r="N69" s="2"/>
      <c r="O69" s="1"/>
      <c r="P69" s="2"/>
      <c r="Q69" s="1" t="n">
        <f aca="false">AL14</f>
        <v>0.442923525625</v>
      </c>
      <c r="R69" s="1" t="n">
        <f aca="false">AM14</f>
        <v>0.0157928325596983</v>
      </c>
      <c r="S69" s="21" t="n">
        <f aca="false">AO14</f>
        <v>0.00030710615</v>
      </c>
      <c r="T69" s="21"/>
      <c r="U69" s="2"/>
      <c r="V69" s="1"/>
      <c r="W69" s="2"/>
      <c r="X69" s="2"/>
      <c r="Y69" s="2"/>
      <c r="Z69" s="2"/>
      <c r="AA69" s="2"/>
      <c r="AB69" s="2"/>
      <c r="AC69" s="1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2.8" hidden="false" customHeight="true" outlineLevel="0" collapsed="false">
      <c r="A70" s="1"/>
      <c r="B70" s="1"/>
      <c r="C70" s="1"/>
      <c r="D70" s="1"/>
      <c r="E70" s="1"/>
      <c r="F70" s="2"/>
      <c r="G70" s="2"/>
      <c r="H70" s="1"/>
      <c r="I70" s="1"/>
      <c r="J70" s="1"/>
      <c r="K70" s="2"/>
      <c r="L70" s="2"/>
      <c r="M70" s="2"/>
      <c r="N70" s="2"/>
      <c r="O70" s="1"/>
      <c r="P70" s="1"/>
      <c r="Q70" s="1" t="n">
        <f aca="false">AL15</f>
        <v>0.5410338025</v>
      </c>
      <c r="R70" s="1" t="n">
        <f aca="false">AM15</f>
        <v>0.020507179559116</v>
      </c>
      <c r="S70" s="21" t="n">
        <f aca="false">AO15</f>
        <v>0.0003764527</v>
      </c>
      <c r="T70" s="21"/>
      <c r="U70" s="2"/>
      <c r="V70" s="1"/>
      <c r="W70" s="1"/>
      <c r="X70" s="1"/>
      <c r="Y70" s="2"/>
      <c r="Z70" s="2"/>
      <c r="AA70" s="2"/>
      <c r="AB70" s="2"/>
      <c r="AC70" s="1"/>
      <c r="AD70" s="1"/>
      <c r="AE70" s="1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2.8" hidden="false" customHeight="true" outlineLevel="0" collapsed="false">
      <c r="A71" s="24"/>
      <c r="B71" s="24"/>
      <c r="C71" s="4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" t="n">
        <f aca="false">AL16</f>
        <v>0.648951080625</v>
      </c>
      <c r="R71" s="1" t="n">
        <f aca="false">AM16</f>
        <v>0.0261152823843204</v>
      </c>
      <c r="S71" s="21" t="n">
        <f aca="false">AO16</f>
        <v>0.00044579925</v>
      </c>
      <c r="T71" s="21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2.8" hidden="false" customHeight="true" outlineLevel="0" collapsed="false">
      <c r="A72" s="24"/>
      <c r="B72" s="1"/>
      <c r="C72" s="2"/>
      <c r="D72" s="2"/>
      <c r="E72" s="2"/>
      <c r="F72" s="2"/>
      <c r="G72" s="2"/>
      <c r="H72" s="1"/>
      <c r="I72" s="2"/>
      <c r="J72" s="2"/>
      <c r="K72" s="2"/>
      <c r="L72" s="2"/>
      <c r="M72" s="2"/>
      <c r="N72" s="2"/>
      <c r="O72" s="1"/>
      <c r="P72" s="2"/>
      <c r="Q72" s="1" t="n">
        <f aca="false">AL17</f>
        <v>0.76667536</v>
      </c>
      <c r="R72" s="1" t="n">
        <f aca="false">AM17</f>
        <v>0.0327038942550517</v>
      </c>
      <c r="S72" s="21" t="n">
        <f aca="false">AO17</f>
        <v>0.00050523915</v>
      </c>
      <c r="T72" s="21"/>
      <c r="U72" s="2"/>
      <c r="V72" s="1"/>
      <c r="W72" s="2"/>
      <c r="X72" s="2"/>
      <c r="Y72" s="2"/>
      <c r="Z72" s="2"/>
      <c r="AA72" s="2"/>
      <c r="AB72" s="2"/>
      <c r="AC72" s="1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2.8" hidden="false" customHeight="true" outlineLevel="0" collapsed="false">
      <c r="A73" s="2"/>
      <c r="B73" s="2"/>
      <c r="C73" s="2"/>
      <c r="D73" s="2"/>
      <c r="E73" s="2"/>
      <c r="F73" s="2"/>
      <c r="G73" s="2"/>
      <c r="H73" s="1"/>
      <c r="I73" s="1"/>
      <c r="J73" s="1"/>
      <c r="K73" s="2"/>
      <c r="L73" s="2"/>
      <c r="M73" s="2"/>
      <c r="N73" s="2"/>
      <c r="O73" s="1"/>
      <c r="P73" s="1"/>
      <c r="Q73" s="1" t="s">
        <v>17</v>
      </c>
      <c r="R73" s="1"/>
      <c r="S73" s="27"/>
      <c r="T73" s="21"/>
      <c r="U73" s="2"/>
      <c r="V73" s="1"/>
      <c r="W73" s="1"/>
      <c r="X73" s="1"/>
      <c r="Y73" s="2"/>
      <c r="Z73" s="2"/>
      <c r="AA73" s="2"/>
      <c r="AB73" s="2"/>
      <c r="AC73" s="1"/>
      <c r="AD73" s="1"/>
      <c r="AE73" s="1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2.8" hidden="false" customHeight="true" outlineLevel="0" collapsed="false">
      <c r="A74" s="1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" t="n">
        <f aca="false">AT8</f>
        <v>0.0307476225</v>
      </c>
      <c r="R74" s="1" t="n">
        <f aca="false">AU8</f>
        <v>0.000753943992616996</v>
      </c>
      <c r="S74" s="27" t="n">
        <f aca="false">AW8</f>
        <v>4.953325E-005</v>
      </c>
      <c r="T74" s="21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2.8" hidden="false" customHeight="true" outlineLevel="0" collapsed="false">
      <c r="A75" s="28"/>
      <c r="B75" s="2"/>
      <c r="C75" s="1"/>
      <c r="D75" s="2"/>
      <c r="E75" s="2"/>
      <c r="F75" s="2"/>
      <c r="G75" s="2"/>
      <c r="H75" s="1"/>
      <c r="I75" s="2"/>
      <c r="J75" s="2"/>
      <c r="K75" s="2"/>
      <c r="L75" s="2"/>
      <c r="M75" s="2"/>
      <c r="N75" s="2"/>
      <c r="O75" s="1"/>
      <c r="P75" s="2"/>
      <c r="Q75" s="1" t="n">
        <f aca="false">AT9</f>
        <v>0.060208890625</v>
      </c>
      <c r="R75" s="1" t="n">
        <f aca="false">AU9</f>
        <v>0.00152883462656787</v>
      </c>
      <c r="S75" s="27" t="n">
        <f aca="false">AW9</f>
        <v>0.0001188798</v>
      </c>
      <c r="T75" s="21"/>
      <c r="U75" s="2"/>
      <c r="V75" s="1"/>
      <c r="W75" s="2"/>
      <c r="X75" s="2"/>
      <c r="Y75" s="2"/>
      <c r="Z75" s="2"/>
      <c r="AA75" s="2"/>
      <c r="AB75" s="2"/>
      <c r="AC75" s="1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2.8" hidden="false" customHeight="true" outlineLevel="0" collapsed="false">
      <c r="A76" s="2"/>
      <c r="B76" s="2"/>
      <c r="C76" s="2"/>
      <c r="D76" s="2"/>
      <c r="E76" s="2"/>
      <c r="F76" s="2"/>
      <c r="G76" s="2"/>
      <c r="H76" s="1"/>
      <c r="I76" s="1"/>
      <c r="J76" s="1"/>
      <c r="K76" s="2"/>
      <c r="L76" s="2"/>
      <c r="M76" s="2"/>
      <c r="N76" s="2"/>
      <c r="O76" s="1"/>
      <c r="P76" s="1"/>
      <c r="Q76" s="1" t="n">
        <f aca="false">AT10</f>
        <v>0.097718134801</v>
      </c>
      <c r="R76" s="1" t="n">
        <f aca="false">AU10</f>
        <v>0.00259074553942891</v>
      </c>
      <c r="S76" s="27" t="n">
        <f aca="false">AW10</f>
        <v>0.0002179463</v>
      </c>
      <c r="T76" s="21"/>
      <c r="U76" s="2"/>
      <c r="V76" s="1"/>
      <c r="W76" s="1"/>
      <c r="X76" s="1"/>
      <c r="Y76" s="2"/>
      <c r="Z76" s="2"/>
      <c r="AA76" s="2"/>
      <c r="AB76" s="2"/>
      <c r="AC76" s="1"/>
      <c r="AD76" s="1"/>
      <c r="AE76" s="1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2.8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" t="n">
        <f aca="false">AT11</f>
        <v>0.150719427076</v>
      </c>
      <c r="R77" s="1" t="n">
        <f aca="false">AU11</f>
        <v>0.00422954651469412</v>
      </c>
      <c r="S77" s="27" t="n">
        <f aca="false">AW11</f>
        <v>0.0003368261</v>
      </c>
      <c r="T77" s="21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2.8" hidden="false" customHeight="true" outlineLevel="0" collapsed="false">
      <c r="A78" s="2"/>
      <c r="B78" s="2"/>
      <c r="C78" s="2"/>
      <c r="D78" s="2"/>
      <c r="E78" s="2"/>
      <c r="F78" s="2"/>
      <c r="G78" s="2"/>
      <c r="H78" s="1"/>
      <c r="I78" s="1"/>
      <c r="J78" s="1"/>
      <c r="K78" s="2"/>
      <c r="L78" s="2"/>
      <c r="M78" s="2"/>
      <c r="N78" s="2"/>
      <c r="O78" s="2"/>
      <c r="P78" s="2"/>
      <c r="Q78" s="1" t="n">
        <f aca="false">AT12</f>
        <v>0.2074347025</v>
      </c>
      <c r="R78" s="1" t="n">
        <f aca="false">AU12</f>
        <v>0.00615256363096275</v>
      </c>
      <c r="S78" s="27" t="n">
        <f aca="false">AW12</f>
        <v>0.0004755192</v>
      </c>
      <c r="T78" s="21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2.8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" t="n">
        <f aca="false">AT13</f>
        <v>0.276123975625</v>
      </c>
      <c r="R79" s="1" t="n">
        <f aca="false">AU13</f>
        <v>0.00870058935668657</v>
      </c>
      <c r="S79" s="27" t="n">
        <f aca="false">AW13</f>
        <v>0.0006538389</v>
      </c>
      <c r="T79" s="21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2.8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 t="n">
        <f aca="false">AT14</f>
        <v>0.35462025</v>
      </c>
      <c r="R80" s="1" t="n">
        <f aca="false">AU14</f>
        <v>0.0118858635819651</v>
      </c>
      <c r="S80" s="27" t="n">
        <f aca="false">AW14</f>
        <v>0.0008321586</v>
      </c>
      <c r="T80" s="21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2.8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 t="n">
        <f aca="false">AT15</f>
        <v>0.442923525625</v>
      </c>
      <c r="R81" s="1" t="n">
        <f aca="false">AU15</f>
        <v>0.0157928325596983</v>
      </c>
      <c r="S81" s="27" t="n">
        <f aca="false">AW15</f>
        <v>0.0010302916</v>
      </c>
      <c r="T81" s="21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2.8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 t="n">
        <f aca="false">AT16</f>
        <v>0.5410338025</v>
      </c>
      <c r="R82" s="1" t="n">
        <f aca="false">AU16</f>
        <v>0.020507179559116</v>
      </c>
      <c r="S82" s="27" t="n">
        <f aca="false">AW16</f>
        <v>0.0012284246</v>
      </c>
      <c r="T82" s="21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2.8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" t="n">
        <f aca="false">AT17</f>
        <v>0.648951080625</v>
      </c>
      <c r="R83" s="1" t="n">
        <f aca="false">AU17</f>
        <v>0.0261152823843204</v>
      </c>
      <c r="S83" s="27" t="n">
        <f aca="false">AW17</f>
        <v>0.00143646425</v>
      </c>
      <c r="T83" s="21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2.8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" t="n">
        <f aca="false">AT18</f>
        <v>0.76667536</v>
      </c>
      <c r="R84" s="1" t="n">
        <f aca="false">AU18</f>
        <v>0.0327038942550517</v>
      </c>
      <c r="S84" s="27" t="n">
        <f aca="false">AW18</f>
        <v>0.00163459725</v>
      </c>
      <c r="T84" s="21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2.8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1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2.8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1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2.8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1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2.8" hidden="false" customHeight="true" outlineLevel="0" collapsed="false">
      <c r="T88" s="21"/>
    </row>
    <row r="89" customFormat="false" ht="12.8" hidden="false" customHeight="true" outlineLevel="0" collapsed="false">
      <c r="T89" s="21"/>
    </row>
    <row r="90" customFormat="false" ht="12.8" hidden="false" customHeight="true" outlineLevel="0" collapsed="false">
      <c r="T90" s="21"/>
    </row>
    <row r="91" customFormat="false" ht="12.8" hidden="false" customHeight="true" outlineLevel="0" collapsed="false">
      <c r="T91" s="21"/>
    </row>
    <row r="92" customFormat="false" ht="12.8" hidden="false" customHeight="true" outlineLevel="0" collapsed="false">
      <c r="T92" s="21"/>
    </row>
    <row r="93" customFormat="false" ht="12.8" hidden="false" customHeight="true" outlineLevel="0" collapsed="false">
      <c r="T93" s="21"/>
    </row>
    <row r="94" customFormat="false" ht="12.8" hidden="false" customHeight="true" outlineLevel="0" collapsed="false">
      <c r="T94" s="21"/>
    </row>
    <row r="95" customFormat="false" ht="12.8" hidden="false" customHeight="true" outlineLevel="0" collapsed="false">
      <c r="T95" s="21"/>
    </row>
    <row r="96" customFormat="false" ht="12.8" hidden="false" customHeight="true" outlineLevel="0" collapsed="false">
      <c r="T96" s="21"/>
    </row>
    <row r="97" customFormat="false" ht="12.8" hidden="false" customHeight="true" outlineLevel="0" collapsed="false">
      <c r="T97" s="21"/>
    </row>
    <row r="98" customFormat="false" ht="12.8" hidden="false" customHeight="true" outlineLevel="0" collapsed="false">
      <c r="T98" s="21"/>
    </row>
    <row r="99" customFormat="false" ht="12.8" hidden="false" customHeight="true" outlineLevel="0" collapsed="false">
      <c r="T99" s="21"/>
    </row>
    <row r="100" customFormat="false" ht="12.8" hidden="false" customHeight="true" outlineLevel="0" collapsed="false">
      <c r="T100" s="29"/>
    </row>
    <row r="101" customFormat="false" ht="12.8" hidden="false" customHeight="true" outlineLevel="0" collapsed="false">
      <c r="T101" s="29"/>
    </row>
    <row r="102" customFormat="false" ht="12.8" hidden="false" customHeight="true" outlineLevel="0" collapsed="false">
      <c r="T102" s="29"/>
    </row>
    <row r="103" customFormat="false" ht="12.8" hidden="false" customHeight="true" outlineLevel="0" collapsed="false">
      <c r="T103" s="29"/>
    </row>
    <row r="104" customFormat="false" ht="12.8" hidden="false" customHeight="true" outlineLevel="0" collapsed="false">
      <c r="T104" s="29"/>
    </row>
    <row r="105" customFormat="false" ht="12.8" hidden="false" customHeight="true" outlineLevel="0" collapsed="false">
      <c r="T105" s="29"/>
    </row>
    <row r="106" customFormat="false" ht="12.8" hidden="false" customHeight="true" outlineLevel="0" collapsed="false">
      <c r="T106" s="29"/>
    </row>
    <row r="107" customFormat="false" ht="12.8" hidden="false" customHeight="true" outlineLevel="0" collapsed="false">
      <c r="T107" s="29"/>
    </row>
    <row r="108" customFormat="false" ht="12.8" hidden="false" customHeight="true" outlineLevel="0" collapsed="false">
      <c r="T108" s="29"/>
    </row>
    <row r="109" customFormat="false" ht="12.8" hidden="false" customHeight="true" outlineLevel="0" collapsed="false">
      <c r="T109" s="29"/>
    </row>
    <row r="110" customFormat="false" ht="12.8" hidden="false" customHeight="true" outlineLevel="0" collapsed="false">
      <c r="T110" s="29"/>
    </row>
    <row r="111" customFormat="false" ht="12.8" hidden="false" customHeight="true" outlineLevel="0" collapsed="false">
      <c r="T111" s="29"/>
    </row>
    <row r="112" customFormat="false" ht="12.8" hidden="false" customHeight="true" outlineLevel="0" collapsed="false">
      <c r="T112" s="29"/>
    </row>
    <row r="113" customFormat="false" ht="12.8" hidden="false" customHeight="true" outlineLevel="0" collapsed="false">
      <c r="T113" s="29"/>
    </row>
    <row r="114" customFormat="false" ht="12.8" hidden="false" customHeight="true" outlineLevel="0" collapsed="false">
      <c r="T114" s="29"/>
    </row>
    <row r="115" customFormat="false" ht="12.8" hidden="false" customHeight="true" outlineLevel="0" collapsed="false">
      <c r="T115" s="29"/>
    </row>
    <row r="116" customFormat="false" ht="12.8" hidden="false" customHeight="true" outlineLevel="0" collapsed="false">
      <c r="T116" s="2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557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2025-10-10T10:09:03Z</dcterms:created>
  <dc:creator/>
  <dc:description/>
  <dc:language>ru-RU</dc:language>
  <cp:lastModifiedBy/>
  <dcterms:modified xsi:type="dcterms:W3CDTF">2025-11-30T23:20:37Z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