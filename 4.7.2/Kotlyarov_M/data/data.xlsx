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<sst xmlns="http://schemas.openxmlformats.org/spreadsheetml/2006/main" count="32" uniqueCount="23">
  <si>
    <t xml:space="preserve">\lambda, мкм</t>
  </si>
  <si>
    <t xml:space="preserve">шкала</t>
  </si>
  <si>
    <t xml:space="preserve">n_0</t>
  </si>
  <si>
    <t xml:space="preserve">дел</t>
  </si>
  <si>
    <t xml:space="preserve">В</t>
  </si>
  <si>
    <t xml:space="preserve">1 дел</t>
  </si>
  <si>
    <t xml:space="preserve">D_1, см</t>
  </si>
  <si>
    <t xml:space="preserve">l, мм</t>
  </si>
  <si>
    <t xml:space="preserve">горизонтальная</t>
  </si>
  <si>
    <t xml:space="preserve">L, см</t>
  </si>
  <si>
    <t xml:space="preserve">\sigma_D, см</t>
  </si>
  <si>
    <t xml:space="preserve">U_{\lambda/2}, дел</t>
  </si>
  <si>
    <t xml:space="preserve">U_{\lambda/2}, В</t>
  </si>
  <si>
    <t xml:space="preserve">U_{\lambda}, дел</t>
  </si>
  <si>
    <t xml:space="preserve">n</t>
  </si>
  <si>
    <t xml:space="preserve">D, см</t>
  </si>
  <si>
    <t xml:space="preserve">вертикальная</t>
  </si>
  <si>
    <t xml:space="preserve">U_{мин}, дел</t>
  </si>
  <si>
    <t xml:space="preserve">U_{\макс}, дел</t>
  </si>
  <si>
    <t xml:space="preserve">Фигуры Лиссажу</t>
  </si>
  <si>
    <t xml:space="preserve">k, см^2</t>
  </si>
  <si>
    <t xml:space="preserve">U_{3 \lambda/2}, дел</t>
  </si>
  <si>
    <t xml:space="preserve">n_o — n_e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</si>
</sst>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"/>
  <sheetViews>
    <sheetView showFormulas="false" showGridLines="true" showRowColHeaders="true" showZeros="true" rightToLeft="false" tabSelected="true" showOutlineSymbols="true" defaultGridColor="true" view="normal" topLeftCell="A19" colorId="64" zoomScale="180" zoomScaleNormal="180" zoomScalePageLayoutView="100" workbookViewId="0">
      <selection pane="topLeft" activeCell="F30" activeCellId="0" sqref="F3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G1" s="1"/>
    </row>
    <row r="2" customFormat="false" ht="12.8" hidden="false" customHeight="false" outlineLevel="0" collapsed="false">
      <c r="A2" s="1" t="n">
        <v>0.63</v>
      </c>
      <c r="B2" s="1"/>
      <c r="C2" s="1"/>
      <c r="H2" s="0" t="s">
        <v>1</v>
      </c>
      <c r="M2" s="1"/>
    </row>
    <row r="3" customFormat="false" ht="12.8" hidden="false" customHeight="false" outlineLevel="0" collapsed="false">
      <c r="A3" s="1" t="s">
        <v>2</v>
      </c>
      <c r="H3" s="0" t="s">
        <v>3</v>
      </c>
      <c r="I3" s="0" t="s">
        <v>4</v>
      </c>
      <c r="K3" s="0" t="s">
        <v>5</v>
      </c>
    </row>
    <row r="4" customFormat="false" ht="12.8" hidden="false" customHeight="false" outlineLevel="0" collapsed="false">
      <c r="A4" s="0" t="n">
        <v>2.29</v>
      </c>
      <c r="B4" s="1"/>
      <c r="C4" s="1" t="s">
        <v>6</v>
      </c>
      <c r="H4" s="0" t="n">
        <v>100</v>
      </c>
      <c r="I4" s="0" t="n">
        <v>1500</v>
      </c>
      <c r="K4" s="0" t="n">
        <f aca="false">I4/H4</f>
        <v>15</v>
      </c>
      <c r="L4" s="0" t="s">
        <v>4</v>
      </c>
      <c r="N4" s="1"/>
      <c r="O4" s="1"/>
      <c r="P4" s="1"/>
      <c r="Q4" s="1"/>
      <c r="S4" s="1"/>
      <c r="W4" s="1"/>
      <c r="Y4" s="1"/>
    </row>
    <row r="5" customFormat="false" ht="12.8" hidden="false" customHeight="false" outlineLevel="0" collapsed="false">
      <c r="A5" s="1" t="s">
        <v>7</v>
      </c>
      <c r="B5" s="1"/>
      <c r="C5" s="1" t="n">
        <v>5.3</v>
      </c>
      <c r="D5" s="1"/>
      <c r="G5" s="1"/>
      <c r="H5" s="1"/>
      <c r="M5" s="1"/>
      <c r="N5" s="1"/>
      <c r="O5" s="1"/>
      <c r="P5" s="1"/>
      <c r="Q5" s="1"/>
      <c r="S5" s="1"/>
      <c r="W5" s="1"/>
      <c r="Y5" s="1"/>
    </row>
    <row r="6" customFormat="false" ht="12.8" hidden="false" customHeight="false" outlineLevel="0" collapsed="false">
      <c r="A6" s="1" t="n">
        <v>26</v>
      </c>
      <c r="B6" s="1"/>
      <c r="C6" s="1" t="n">
        <v>5.2</v>
      </c>
      <c r="D6" s="1"/>
      <c r="G6" s="1"/>
      <c r="H6" s="1" t="s">
        <v>8</v>
      </c>
      <c r="M6" s="1"/>
      <c r="S6" s="1"/>
      <c r="Y6" s="1"/>
    </row>
    <row r="7" customFormat="false" ht="12.8" hidden="false" customHeight="false" outlineLevel="0" collapsed="false">
      <c r="A7" s="0" t="s">
        <v>9</v>
      </c>
      <c r="B7" s="1"/>
      <c r="C7" s="1" t="n">
        <v>5.2</v>
      </c>
      <c r="D7" s="1"/>
      <c r="E7" s="0" t="s">
        <v>10</v>
      </c>
      <c r="I7" s="0" t="s">
        <v>11</v>
      </c>
      <c r="J7" s="0" t="s">
        <v>12</v>
      </c>
      <c r="N7" s="1"/>
      <c r="O7" s="1"/>
    </row>
    <row r="8" customFormat="false" ht="12.8" hidden="false" customHeight="false" outlineLevel="0" collapsed="false">
      <c r="A8" s="1" t="n">
        <v>75</v>
      </c>
      <c r="B8" s="1"/>
      <c r="C8" s="1" t="n">
        <f aca="false">_xlfn.STDEV.S(C5:C7)/SQRT(3)</f>
        <v>0.0333333333333332</v>
      </c>
      <c r="D8" s="1"/>
      <c r="E8" s="0" t="n">
        <f aca="false">SQRT(C8^2+0.01)</f>
        <v>0.105409255338946</v>
      </c>
      <c r="G8" s="1"/>
      <c r="H8" s="1"/>
      <c r="I8" s="1" t="n">
        <v>30</v>
      </c>
      <c r="J8" s="1" t="n">
        <f aca="false">I8*$K$4</f>
        <v>450</v>
      </c>
      <c r="K8" s="1"/>
      <c r="M8" s="1"/>
      <c r="N8" s="1"/>
      <c r="O8" s="1"/>
      <c r="P8" s="1"/>
      <c r="Q8" s="1"/>
      <c r="S8" s="1"/>
      <c r="T8" s="1"/>
      <c r="U8" s="1"/>
      <c r="W8" s="1"/>
      <c r="Y8" s="1"/>
      <c r="Z8" s="1"/>
      <c r="AA8" s="1"/>
    </row>
    <row r="9" customFormat="false" ht="12.8" hidden="false" customHeight="false" outlineLevel="0" collapsed="false">
      <c r="A9" s="1" t="n">
        <v>0.5</v>
      </c>
      <c r="B9" s="1"/>
      <c r="C9" s="1"/>
      <c r="D9" s="1"/>
      <c r="G9" s="1"/>
      <c r="H9" s="1"/>
      <c r="I9" s="0" t="s">
        <v>13</v>
      </c>
      <c r="J9" s="0" t="s">
        <v>12</v>
      </c>
      <c r="K9" s="1"/>
      <c r="M9" s="1"/>
      <c r="N9" s="1"/>
      <c r="O9" s="1"/>
      <c r="S9" s="1"/>
      <c r="T9" s="1"/>
      <c r="U9" s="1"/>
      <c r="Y9" s="1"/>
      <c r="Z9" s="1"/>
      <c r="AA9" s="1"/>
    </row>
    <row r="10" customFormat="false" ht="12.8" hidden="false" customHeight="false" outlineLevel="0" collapsed="false">
      <c r="A10" s="1"/>
      <c r="B10" s="1"/>
      <c r="C10" s="1"/>
      <c r="G10" s="1"/>
      <c r="H10" s="1"/>
      <c r="I10" s="1" t="n">
        <v>64</v>
      </c>
      <c r="J10" s="1" t="n">
        <f aca="false">I10*$K$4</f>
        <v>960</v>
      </c>
      <c r="M10" s="1"/>
      <c r="N10" s="1"/>
      <c r="O10" s="1"/>
      <c r="R10" s="1"/>
      <c r="S10" s="1"/>
      <c r="T10" s="1"/>
      <c r="U10" s="1"/>
      <c r="Y10" s="1"/>
      <c r="Z10" s="1"/>
      <c r="AA10" s="1"/>
    </row>
    <row r="11" customFormat="false" ht="12.8" hidden="false" customHeight="false" outlineLevel="0" collapsed="false">
      <c r="A11" s="1"/>
      <c r="B11" s="1" t="s">
        <v>14</v>
      </c>
      <c r="C11" s="1" t="s">
        <v>15</v>
      </c>
      <c r="G11" s="1"/>
      <c r="H11" s="1" t="s">
        <v>16</v>
      </c>
      <c r="K11" s="1"/>
      <c r="M11" s="1"/>
      <c r="N11" s="1"/>
      <c r="O11" s="1"/>
      <c r="Q11" s="1"/>
      <c r="R11" s="1"/>
      <c r="S11" s="1"/>
      <c r="T11" s="1"/>
      <c r="U11" s="1"/>
      <c r="Y11" s="1"/>
      <c r="Z11" s="1"/>
      <c r="AA11" s="1"/>
    </row>
    <row r="12" customFormat="false" ht="12.8" hidden="false" customHeight="false" outlineLevel="0" collapsed="false">
      <c r="A12" s="1"/>
      <c r="B12" s="1" t="n">
        <v>1</v>
      </c>
      <c r="C12" s="1" t="n">
        <f aca="false">SUM(C5:C7)/3</f>
        <v>5.23333333333333</v>
      </c>
      <c r="G12" s="1"/>
      <c r="I12" s="0" t="s">
        <v>17</v>
      </c>
      <c r="J12" s="0" t="s">
        <v>12</v>
      </c>
      <c r="K12" s="1"/>
      <c r="M12" s="1"/>
      <c r="N12" s="1"/>
      <c r="O12" s="1"/>
      <c r="S12" s="1"/>
      <c r="T12" s="1"/>
      <c r="U12" s="1"/>
      <c r="Y12" s="1"/>
    </row>
    <row r="13" customFormat="false" ht="12.8" hidden="false" customHeight="false" outlineLevel="0" collapsed="false">
      <c r="A13" s="1"/>
      <c r="B13" s="1" t="n">
        <v>2</v>
      </c>
      <c r="C13" s="1" t="n">
        <v>7.4</v>
      </c>
      <c r="G13" s="1"/>
      <c r="H13" s="1"/>
      <c r="I13" s="1" t="n">
        <v>32</v>
      </c>
      <c r="J13" s="1" t="n">
        <f aca="false">I13*$K$4</f>
        <v>480</v>
      </c>
      <c r="K13" s="1"/>
      <c r="M13" s="1"/>
      <c r="N13" s="1"/>
      <c r="O13" s="1"/>
      <c r="S13" s="1"/>
      <c r="T13" s="1"/>
      <c r="U13" s="1"/>
      <c r="Y13" s="1"/>
      <c r="Z13" s="1"/>
      <c r="AA13" s="1"/>
    </row>
    <row r="14" customFormat="false" ht="12.8" hidden="false" customHeight="false" outlineLevel="0" collapsed="false">
      <c r="A14" s="1"/>
      <c r="B14" s="1" t="n">
        <v>3</v>
      </c>
      <c r="C14" s="1" t="n">
        <v>9.2</v>
      </c>
      <c r="D14" s="1"/>
      <c r="G14" s="1"/>
      <c r="H14" s="1"/>
      <c r="I14" s="0" t="s">
        <v>18</v>
      </c>
      <c r="J14" s="0" t="s">
        <v>12</v>
      </c>
      <c r="M14" s="1"/>
      <c r="N14" s="1"/>
      <c r="O14" s="1"/>
      <c r="S14" s="1"/>
      <c r="T14" s="1"/>
      <c r="U14" s="1"/>
    </row>
    <row r="15" customFormat="false" ht="12.8" hidden="false" customHeight="false" outlineLevel="0" collapsed="false">
      <c r="A15" s="1"/>
      <c r="B15" s="1" t="n">
        <v>4</v>
      </c>
      <c r="C15" s="1" t="n">
        <v>10.7</v>
      </c>
      <c r="D15" s="1"/>
      <c r="G15" s="1"/>
      <c r="H15" s="1"/>
      <c r="I15" s="1" t="n">
        <v>60</v>
      </c>
      <c r="J15" s="1" t="n">
        <f aca="false">I15*$K$4</f>
        <v>900</v>
      </c>
      <c r="M15" s="1"/>
      <c r="N15" s="1"/>
      <c r="O15" s="1"/>
      <c r="S15" s="1"/>
      <c r="T15" s="1"/>
      <c r="U15" s="1"/>
    </row>
    <row r="16" customFormat="false" ht="12.8" hidden="false" customHeight="false" outlineLevel="0" collapsed="false">
      <c r="A16" s="1"/>
      <c r="B16" s="1" t="n">
        <v>5</v>
      </c>
      <c r="C16" s="1" t="n">
        <v>11.6</v>
      </c>
      <c r="G16" s="1"/>
      <c r="H16" s="1"/>
      <c r="I16" s="1"/>
      <c r="J16" s="1"/>
    </row>
    <row r="17" customFormat="false" ht="12.8" hidden="false" customHeight="false" outlineLevel="0" collapsed="false">
      <c r="B17" s="1" t="n">
        <v>6</v>
      </c>
      <c r="C17" s="0" t="n">
        <v>13</v>
      </c>
      <c r="H17" s="1" t="s">
        <v>19</v>
      </c>
      <c r="J17" s="1"/>
    </row>
    <row r="18" customFormat="false" ht="12.8" hidden="false" customHeight="false" outlineLevel="0" collapsed="false">
      <c r="A18" s="1"/>
      <c r="B18" s="1" t="n">
        <v>7</v>
      </c>
      <c r="C18" s="1" t="n">
        <v>14.2</v>
      </c>
      <c r="G18" s="1"/>
      <c r="I18" s="0" t="s">
        <v>11</v>
      </c>
      <c r="J18" s="0" t="s">
        <v>12</v>
      </c>
      <c r="M18" s="1"/>
      <c r="N18" s="1"/>
      <c r="O18" s="1"/>
      <c r="S18" s="1"/>
      <c r="T18" s="1"/>
      <c r="U18" s="1"/>
      <c r="Y18" s="1"/>
      <c r="Z18" s="1"/>
      <c r="AA18" s="1"/>
    </row>
    <row r="19" customFormat="false" ht="12.8" hidden="false" customHeight="false" outlineLevel="0" collapsed="false">
      <c r="A19" s="2"/>
      <c r="B19" s="1" t="n">
        <v>8</v>
      </c>
      <c r="C19" s="1" t="n">
        <v>15.1</v>
      </c>
      <c r="G19" s="2"/>
      <c r="I19" s="1" t="n">
        <v>28</v>
      </c>
      <c r="J19" s="1" t="n">
        <f aca="false">I19*$K$4</f>
        <v>420</v>
      </c>
      <c r="M19" s="2"/>
      <c r="N19" s="2"/>
      <c r="O19" s="1"/>
      <c r="P19" s="1"/>
      <c r="S19" s="2"/>
      <c r="T19" s="2"/>
      <c r="U19" s="1"/>
      <c r="V19" s="1"/>
      <c r="Y19" s="2"/>
      <c r="Z19" s="2"/>
      <c r="AA19" s="1"/>
      <c r="AB19" s="1"/>
    </row>
    <row r="20" customFormat="false" ht="12.8" hidden="false" customHeight="false" outlineLevel="0" collapsed="false">
      <c r="A20" s="1"/>
      <c r="B20" s="1"/>
      <c r="C20" s="1"/>
      <c r="D20" s="1"/>
      <c r="G20" s="1"/>
      <c r="I20" s="0" t="s">
        <v>13</v>
      </c>
      <c r="J20" s="0" t="s">
        <v>12</v>
      </c>
      <c r="M20" s="1"/>
      <c r="N20" s="1"/>
      <c r="O20" s="1"/>
      <c r="S20" s="1"/>
      <c r="T20" s="1"/>
      <c r="U20" s="1"/>
      <c r="Y20" s="1"/>
      <c r="Z20" s="1"/>
      <c r="AA20" s="1"/>
    </row>
    <row r="21" customFormat="false" ht="12.8" hidden="false" customHeight="false" outlineLevel="0" collapsed="false">
      <c r="A21" s="1"/>
      <c r="B21" s="1" t="s">
        <v>20</v>
      </c>
      <c r="C21" s="1"/>
      <c r="D21" s="1"/>
      <c r="G21" s="1"/>
      <c r="I21" s="1" t="n">
        <v>59</v>
      </c>
      <c r="J21" s="1" t="n">
        <f aca="false">I21*$K$4</f>
        <v>885</v>
      </c>
      <c r="M21" s="1"/>
      <c r="N21" s="1"/>
      <c r="O21" s="1"/>
      <c r="S21" s="1"/>
      <c r="T21" s="1"/>
      <c r="U21" s="1"/>
      <c r="Y21" s="1"/>
      <c r="Z21" s="1"/>
      <c r="AA21" s="1"/>
    </row>
    <row r="22" customFormat="false" ht="12.8" hidden="false" customHeight="false" outlineLevel="0" collapsed="false">
      <c r="A22" s="1"/>
      <c r="B22" s="3" t="n">
        <v>7.1268</v>
      </c>
      <c r="C22" s="3" t="n">
        <v>0.1016</v>
      </c>
      <c r="D22" s="0" t="n">
        <f aca="false">C22/B22*100</f>
        <v>1.42560475949935</v>
      </c>
      <c r="G22" s="1"/>
      <c r="H22" s="1"/>
      <c r="I22" s="0" t="s">
        <v>21</v>
      </c>
      <c r="J22" s="0" t="s">
        <v>12</v>
      </c>
      <c r="M22" s="1"/>
      <c r="N22" s="1"/>
      <c r="O22" s="1"/>
      <c r="S22" s="1"/>
      <c r="T22" s="1"/>
      <c r="U22" s="1"/>
      <c r="Y22" s="1"/>
      <c r="Z22" s="1"/>
      <c r="AA22" s="1"/>
    </row>
    <row r="23" customFormat="false" ht="12.8" hidden="false" customHeight="false" outlineLevel="0" collapsed="false">
      <c r="A23" s="1"/>
      <c r="B23" s="1"/>
      <c r="C23" s="1"/>
      <c r="G23" s="1"/>
      <c r="H23" s="1"/>
      <c r="I23" s="1" t="n">
        <v>90</v>
      </c>
      <c r="J23" s="1" t="n">
        <f aca="false">I23*$K$4</f>
        <v>1350</v>
      </c>
      <c r="M23" s="1"/>
      <c r="N23" s="1"/>
      <c r="O23" s="1"/>
      <c r="S23" s="1"/>
      <c r="T23" s="1"/>
      <c r="U23" s="1"/>
      <c r="Y23" s="1"/>
      <c r="Z23" s="1"/>
      <c r="AA23" s="1"/>
    </row>
    <row r="24" customFormat="false" ht="12.8" hidden="false" customHeight="false" outlineLevel="0" collapsed="false">
      <c r="B24" s="0" t="s">
        <v>22</v>
      </c>
    </row>
    <row r="25" customFormat="false" ht="12.8" hidden="false" customHeight="false" outlineLevel="0" collapsed="false">
      <c r="A25" s="1"/>
      <c r="B25" s="1" t="n">
        <f aca="false">A2*10^-6 /A6 * 1000*(A4*A8)^2/B22</f>
        <v>0.100291960654474</v>
      </c>
      <c r="C25" s="1" t="n">
        <f aca="false">B25*SQRT((2*A9/A8)^2+(1/A6)^2+(2*0.01/A4)^2+(D22/100)^2+(0.003/A2)^2)</f>
        <v>0.00443926992913683</v>
      </c>
      <c r="D25" s="0" t="n">
        <f aca="false">C25/B25*100</f>
        <v>4.42634673823058</v>
      </c>
    </row>
    <row r="26" customFormat="false" ht="12.8" hidden="false" customHeight="false" outlineLevel="0" collapsed="false">
      <c r="A26" s="1"/>
      <c r="B26" s="1"/>
      <c r="C26" s="1"/>
      <c r="D26" s="1"/>
    </row>
    <row r="27" customFormat="false" ht="12.8" hidden="false" customHeight="false" outlineLevel="0" collapsed="false">
      <c r="B27" s="1"/>
      <c r="C27" s="1"/>
      <c r="D27" s="1"/>
    </row>
    <row r="28" customFormat="false" ht="12.8" hidden="false" customHeight="false" outlineLevel="0" collapsed="false">
      <c r="A28" s="1"/>
      <c r="B28" s="1"/>
      <c r="C28" s="1"/>
      <c r="D28" s="1"/>
      <c r="H28" s="0" t="n">
        <v>450</v>
      </c>
    </row>
    <row r="29" customFormat="false" ht="12.8" hidden="false" customHeight="false" outlineLevel="0" collapsed="false">
      <c r="A29" s="1"/>
      <c r="B29" s="1"/>
      <c r="C29" s="1"/>
      <c r="D29" s="1"/>
      <c r="H29" s="0" t="n">
        <v>480</v>
      </c>
    </row>
    <row r="30" customFormat="false" ht="12.8" hidden="false" customHeight="false" outlineLevel="0" collapsed="false">
      <c r="H30" s="0" t="n">
        <v>480</v>
      </c>
    </row>
    <row r="31" customFormat="false" ht="12.8" hidden="false" customHeight="false" outlineLevel="0" collapsed="false">
      <c r="B31" s="1"/>
      <c r="H31" s="0" t="n">
        <v>420</v>
      </c>
    </row>
    <row r="32" customFormat="false" ht="12.8" hidden="false" customHeight="false" outlineLevel="0" collapsed="false">
      <c r="B32" s="1"/>
      <c r="C32" s="1"/>
      <c r="H32" s="0" t="n">
        <v>442.5</v>
      </c>
    </row>
    <row r="33" customFormat="false" ht="12.8" hidden="false" customHeight="false" outlineLevel="0" collapsed="false">
      <c r="B33" s="1"/>
      <c r="C33" s="1"/>
      <c r="E33" s="1"/>
      <c r="F33" s="1"/>
      <c r="G33" s="1"/>
      <c r="H33" s="1" t="n">
        <v>450</v>
      </c>
      <c r="I33" s="1"/>
      <c r="J33" s="1"/>
      <c r="K33" s="1"/>
      <c r="L33" s="1"/>
    </row>
    <row r="34" customFormat="false" ht="12.8" hidden="false" customHeight="false" outlineLevel="0" collapsed="false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2.8" hidden="false" customHeight="false" outlineLevel="0" collapsed="false">
      <c r="A35" s="1"/>
      <c r="C35" s="1"/>
      <c r="D35" s="1"/>
      <c r="E35" s="1"/>
      <c r="F35" s="1"/>
      <c r="G35" s="1"/>
      <c r="H35" s="1" t="n">
        <f aca="false">_xlfn.STDEV.S(H28:H33)/SQRT(6)</f>
        <v>9.43729304408844</v>
      </c>
      <c r="I35" s="1"/>
      <c r="J35" s="1"/>
      <c r="K35" s="1"/>
      <c r="L35" s="1"/>
    </row>
    <row r="36" customFormat="false" ht="12.8" hidden="false" customHeight="false" outlineLevel="0" collapsed="false">
      <c r="A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2.8" hidden="false" customHeight="false" outlineLevel="0" collapsed="false">
      <c r="C37" s="1"/>
      <c r="D37" s="1"/>
    </row>
    <row r="38" customFormat="false" ht="12.8" hidden="false" customHeight="false" outlineLevel="0" collapsed="false">
      <c r="C38" s="1"/>
      <c r="D38" s="1"/>
      <c r="H38" s="0" t="n">
        <f aca="false">SQRT(H35^2+30^2)</f>
        <v>31.4493640635228</v>
      </c>
    </row>
    <row r="39" customFormat="false" ht="12.8" hidden="false" customHeight="false" outlineLevel="0" collapsed="false">
      <c r="E39" s="1"/>
    </row>
    <row r="40" customFormat="false" ht="12.8" hidden="false" customHeight="false" outlineLevel="0" collapsed="false">
      <c r="E40" s="1"/>
      <c r="F40" s="1"/>
      <c r="G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2026-02-28T19:00:52Z</dcterms:created>
  <dc:creator/>
  <dc:description/>
  <dc:language>ru-RU</dc:language>
  <cp:lastModifiedBy/>
  <dcterms:modified xsi:type="dcterms:W3CDTF">2026-03-27T21:11:35Z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