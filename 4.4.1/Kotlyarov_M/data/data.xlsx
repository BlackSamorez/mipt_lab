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<sst xmlns="http://schemas.openxmlformats.org/spreadsheetml/2006/main" count="72" uniqueCount="61">
  <si>
    <t xml:space="preserve">d, штрих/мм</t>
  </si>
  <si>
    <t xml:space="preserve">\sigma_\varphi, рад</t>
  </si>
  <si>
    <t xml:space="preserve">№</t>
  </si>
  <si>
    <t xml:space="preserve">K1</t>
  </si>
  <si>
    <t xml:space="preserve">K2</t>
  </si>
  <si>
    <t xml:space="preserve">λ, нм</t>
  </si>
  <si>
    <t xml:space="preserve">Цвет</t>
  </si>
  <si>
    <t xml:space="preserve">красн.</t>
  </si>
  <si>
    <t xml:space="preserve">желт.</t>
  </si>
  <si>
    <t xml:space="preserve">зелен.</t>
  </si>
  <si>
    <t xml:space="preserve">голуб.</t>
  </si>
  <si>
    <t xml:space="preserve">синий</t>
  </si>
  <si>
    <t xml:space="preserve">фиолет.</t>
  </si>
  <si>
    <t xml:space="preserve">цвет</t>
  </si>
  <si>
    <t xml:space="preserve">\varphi_{+1}</t>
  </si>
  <si>
    <t xml:space="preserve">\varphi_{+1}, °</t>
  </si>
  <si>
    <t xml:space="preserve">\varphi_{+1}, рад</t>
  </si>
  <si>
    <t xml:space="preserve">sin(\varphi_m)</t>
  </si>
  <si>
    <t xml:space="preserve">\Delta_{sin(\varphi_m)}</t>
  </si>
  <si>
    <t xml:space="preserve">\varepsilon_{sin(\varphi_m)}</t>
  </si>
  <si>
    <t xml:space="preserve">\varphi_{-1}</t>
  </si>
  <si>
    <t xml:space="preserve">\varphi_{-1}, °</t>
  </si>
  <si>
    <t xml:space="preserve">\varphi_{-1}, рад</t>
  </si>
  <si>
    <t xml:space="preserve">Яркость</t>
  </si>
  <si>
    <t xml:space="preserve">фиолетовый</t>
  </si>
  <si>
    <t xml:space="preserve">167° 19'4''</t>
  </si>
  <si>
    <t xml:space="preserve">192° 32'39''</t>
  </si>
  <si>
    <t xml:space="preserve">165° 39' 2,5''</t>
  </si>
  <si>
    <t xml:space="preserve">193° 59'59''</t>
  </si>
  <si>
    <t xml:space="preserve">голубой</t>
  </si>
  <si>
    <t xml:space="preserve">165° 31'0''</t>
  </si>
  <si>
    <t xml:space="preserve">194° 7'31''</t>
  </si>
  <si>
    <t xml:space="preserve">зеленый</t>
  </si>
  <si>
    <t xml:space="preserve">164° 00'21''</t>
  </si>
  <si>
    <t xml:space="preserve">195° 45'23,5''</t>
  </si>
  <si>
    <t xml:space="preserve">Желтый 1</t>
  </si>
  <si>
    <t xml:space="preserve">163° 3'57''</t>
  </si>
  <si>
    <t xml:space="preserve">196° 39'41''</t>
  </si>
  <si>
    <t xml:space="preserve">Желтый 2</t>
  </si>
  <si>
    <t xml:space="preserve">162° 59'38''</t>
  </si>
  <si>
    <t xml:space="preserve">196° 43'44''</t>
  </si>
  <si>
    <t xml:space="preserve">K_{+1}, штрих/мм</t>
  </si>
  <si>
    <t xml:space="preserve">d_{+1}, мкм</t>
  </si>
  <si>
    <t xml:space="preserve">K_{-1}, штрих/мм</t>
  </si>
  <si>
    <t xml:space="preserve">\delta_\varphi, уг.сек</t>
  </si>
  <si>
    <t xml:space="preserve">R</t>
  </si>
  <si>
    <t xml:space="preserve">N</t>
  </si>
  <si>
    <t xml:space="preserve">l</t>
  </si>
  <si>
    <t xml:space="preserve">d_{-1}, мкм</t>
  </si>
  <si>
    <t xml:space="preserve">\Delta_\lambda, ангстрем</t>
  </si>
  <si>
    <t xml:space="preserve">d_{\text{ср}}, мкм</t>
  </si>
  <si>
    <t xml:space="preserve">желтые</t>
  </si>
  <si>
    <t xml:space="preserve">порядок</t>
  </si>
  <si>
    <t xml:space="preserve">\Delta_\varphi, ''</t>
  </si>
  <si>
    <t xml:space="preserve">\sigma_{\Delta_\varphi}, ''</t>
  </si>
  <si>
    <t xml:space="preserve">D, уг.сек/ангстрем</t>
  </si>
  <si>
    <t xml:space="preserve">Теор</t>
  </si>
  <si>
    <t xml:space="preserve">143° 51'38''</t>
  </si>
  <si>
    <t xml:space="preserve">143° 42'12''</t>
  </si>
  <si>
    <t xml:space="preserve">214° 33'11''</t>
  </si>
  <si>
    <t xml:space="preserve">214° 42'19''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</si>
</sst>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"/>
  <sheetViews>
    <sheetView showFormulas="false" showGridLines="true" showRowColHeaders="true" showZeros="true" rightToLeft="false" tabSelected="true" showOutlineSymbols="true" defaultGridColor="true" view="normal" topLeftCell="G4" colorId="64" zoomScale="350" zoomScaleNormal="350" zoomScalePageLayoutView="100" workbookViewId="0">
      <selection pane="topLeft" activeCell="J17" activeCellId="0" sqref="J1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C1" s="0" t="s">
        <v>1</v>
      </c>
      <c r="R1" s="0" t="s">
        <v>2</v>
      </c>
      <c r="S1" s="0" t="s">
        <v>3</v>
      </c>
      <c r="T1" s="0" t="s">
        <v>4</v>
      </c>
      <c r="U1" s="0" t="n">
        <v>1</v>
      </c>
      <c r="V1" s="0" t="n">
        <v>2</v>
      </c>
      <c r="W1" s="0" t="n">
        <v>3</v>
      </c>
      <c r="X1" s="0" t="n">
        <v>4</v>
      </c>
      <c r="Y1" s="0" t="n">
        <v>5</v>
      </c>
      <c r="Z1" s="0" t="n">
        <v>6</v>
      </c>
    </row>
    <row r="2" customFormat="false" ht="12.8" hidden="false" customHeight="false" outlineLevel="0" collapsed="false">
      <c r="A2" s="0" t="n">
        <v>500</v>
      </c>
      <c r="C2" s="0" t="n">
        <f aca="false">5/3600*PI()/180</f>
        <v>2.42406840554768E-005</v>
      </c>
      <c r="R2" s="0" t="s">
        <v>5</v>
      </c>
      <c r="S2" s="0" t="n">
        <v>690.7</v>
      </c>
      <c r="T2" s="0" t="n">
        <v>623.4</v>
      </c>
      <c r="U2" s="0" t="n">
        <v>579.1</v>
      </c>
      <c r="V2" s="0" t="n">
        <v>577</v>
      </c>
      <c r="W2" s="0" t="n">
        <v>546.1</v>
      </c>
      <c r="X2" s="0" t="n">
        <v>491.6</v>
      </c>
      <c r="Y2" s="0" t="n">
        <v>435.8</v>
      </c>
      <c r="Z2" s="0" t="n">
        <v>404.7</v>
      </c>
    </row>
    <row r="3" customFormat="false" ht="12.8" hidden="false" customHeight="false" outlineLevel="0" collapsed="false">
      <c r="R3" s="0" t="s">
        <v>6</v>
      </c>
      <c r="S3" s="0" t="s">
        <v>7</v>
      </c>
      <c r="T3" s="0" t="s">
        <v>7</v>
      </c>
      <c r="U3" s="0" t="s">
        <v>8</v>
      </c>
      <c r="V3" s="0" t="s">
        <v>8</v>
      </c>
      <c r="W3" s="0" t="s">
        <v>9</v>
      </c>
      <c r="X3" s="0" t="s">
        <v>10</v>
      </c>
      <c r="Y3" s="0" t="s">
        <v>11</v>
      </c>
      <c r="Z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  <c r="J4" s="0" t="s">
        <v>22</v>
      </c>
      <c r="K4" s="0" t="s">
        <v>17</v>
      </c>
      <c r="L4" s="0" t="s">
        <v>18</v>
      </c>
      <c r="M4" s="0" t="s">
        <v>19</v>
      </c>
      <c r="N4" s="0" t="s">
        <v>5</v>
      </c>
      <c r="R4" s="0" t="s">
        <v>23</v>
      </c>
      <c r="S4" s="0" t="n">
        <v>4</v>
      </c>
      <c r="T4" s="0" t="n">
        <v>4</v>
      </c>
      <c r="U4" s="0" t="n">
        <v>10</v>
      </c>
      <c r="V4" s="0" t="n">
        <v>8</v>
      </c>
      <c r="W4" s="0" t="n">
        <v>10</v>
      </c>
      <c r="X4" s="0" t="n">
        <v>4</v>
      </c>
      <c r="Y4" s="0" t="n">
        <v>4</v>
      </c>
      <c r="Z4" s="0" t="n">
        <v>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n">
        <f aca="false"> 167 + 19/ 60 + 4/3600</f>
        <v>167.317777777778</v>
      </c>
      <c r="D5" s="0" t="n">
        <f aca="false">(180-C5)*PI()/180</f>
        <v>0.22134653424737</v>
      </c>
      <c r="E5" s="0" t="n">
        <f aca="false">SIN(D5)</f>
        <v>0.21954350417923</v>
      </c>
      <c r="F5" s="0" t="n">
        <f aca="false">COS(D5)*$C$2</f>
        <v>2.36492770817898E-005</v>
      </c>
      <c r="G5" s="0" t="n">
        <f aca="false">F5/E5*100</f>
        <v>0.0107720231442071</v>
      </c>
      <c r="H5" s="0" t="s">
        <v>26</v>
      </c>
      <c r="I5" s="0" t="n">
        <f aca="false"> 192+ 32/60 + 39/3600</f>
        <v>192.544166666667</v>
      </c>
      <c r="J5" s="0" t="n">
        <f aca="false">(180-I5)*PI()/180</f>
        <v>-0.218937010252255</v>
      </c>
      <c r="K5" s="0" t="n">
        <f aca="false">SIN(J5)</f>
        <v>-0.217192130998778</v>
      </c>
      <c r="L5" s="0" t="n">
        <f aca="false">COS(J5)*$C$2</f>
        <v>2.36620316267939E-005</v>
      </c>
      <c r="M5" s="0" t="n">
        <f aca="false">L5/K5*100</f>
        <v>-0.0108945160756893</v>
      </c>
      <c r="N5" s="0" t="n">
        <v>404.7</v>
      </c>
    </row>
    <row r="6" customFormat="false" ht="12.8" hidden="false" customHeight="false" outlineLevel="0" collapsed="false">
      <c r="A6" s="0" t="s">
        <v>11</v>
      </c>
      <c r="B6" s="0" t="s">
        <v>27</v>
      </c>
      <c r="C6" s="0" t="n">
        <f aca="false"> 165+ 39/60 + 2.5/3600</f>
        <v>165.650694444444</v>
      </c>
      <c r="D6" s="0" t="n">
        <f aca="false">(180-C6)*PI()/180</f>
        <v>0.250442627319159</v>
      </c>
      <c r="E6" s="0" t="n">
        <f aca="false">SIN(D6)</f>
        <v>0.24783280211268</v>
      </c>
      <c r="F6" s="0" t="n">
        <f aca="false">COS(D6)*$C$2</f>
        <v>2.34844430486182E-005</v>
      </c>
      <c r="G6" s="0" t="n">
        <f aca="false">F6/E6*100</f>
        <v>0.00947592201210748</v>
      </c>
      <c r="H6" s="0" t="s">
        <v>28</v>
      </c>
      <c r="I6" s="0" t="n">
        <f aca="false">193+59/60 + 59/3600</f>
        <v>193.999722222222</v>
      </c>
      <c r="J6" s="0" t="n">
        <f aca="false">(180-I6)*PI()/180</f>
        <v>-0.244341247142395</v>
      </c>
      <c r="K6" s="0" t="n">
        <f aca="false">SIN(J6)</f>
        <v>-0.241917191470396</v>
      </c>
      <c r="L6" s="0" t="n">
        <f aca="false">COS(J6)*$C$2</f>
        <v>2.35206605719414E-005</v>
      </c>
      <c r="M6" s="0" t="n">
        <f aca="false">L6/K6*100</f>
        <v>-0.00972260814908627</v>
      </c>
      <c r="N6" s="0" t="n">
        <v>435.8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n">
        <f aca="false"> 165 +  31/60</f>
        <v>165.516666666667</v>
      </c>
      <c r="D7" s="0" t="n">
        <f aca="false">(180-C7)*PI()/180</f>
        <v>0.252781853330512</v>
      </c>
      <c r="E7" s="0" t="n">
        <f aca="false">SIN(D7)</f>
        <v>0.250098370732508</v>
      </c>
      <c r="F7" s="0" t="n">
        <f aca="false">COS(D7)*$C$2</f>
        <v>2.3470325588353E-005</v>
      </c>
      <c r="G7" s="0" t="n">
        <f aca="false">F7/E7*100</f>
        <v>0.00938443761933003</v>
      </c>
      <c r="H7" s="0" t="s">
        <v>31</v>
      </c>
      <c r="I7" s="0" t="n">
        <f aca="false">194 + 7 / 60 + 31/3600</f>
        <v>194.125277777778</v>
      </c>
      <c r="J7" s="0" t="n">
        <f aca="false">(180-I7)*PI()/180</f>
        <v>-0.24653260498101</v>
      </c>
      <c r="K7" s="0" t="n">
        <f aca="false">SIN(J7)</f>
        <v>-0.244042876635468</v>
      </c>
      <c r="L7" s="0" t="n">
        <f aca="false">COS(J7)*$C$2</f>
        <v>2.35077534642042E-005</v>
      </c>
      <c r="M7" s="0" t="n">
        <f aca="false">L7/K7*100</f>
        <v>-0.00963263250634366</v>
      </c>
      <c r="N7" s="0" t="n">
        <v>491.6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n">
        <f aca="false"> 164 + 21/3600</f>
        <v>164.005833333333</v>
      </c>
      <c r="D8" s="0" t="n">
        <f aca="false">(180-C8)*PI()/180</f>
        <v>0.27915086944606</v>
      </c>
      <c r="E8" s="0" t="n">
        <f aca="false">SIN(D8)</f>
        <v>0.275539487496139</v>
      </c>
      <c r="F8" s="0" t="n">
        <f aca="false">COS(D8)*$C$2</f>
        <v>2.33023212085092E-005</v>
      </c>
      <c r="G8" s="0" t="n">
        <f aca="false">F8/E8*100</f>
        <v>0.00845698067462499</v>
      </c>
      <c r="H8" s="0" t="s">
        <v>34</v>
      </c>
      <c r="I8" s="0" t="n">
        <f aca="false">195+ 45/60 +23.5/3600</f>
        <v>195.756527777778</v>
      </c>
      <c r="J8" s="0" t="n">
        <f aca="false">(180-I8)*PI()/180</f>
        <v>-0.275003288404168</v>
      </c>
      <c r="K8" s="0" t="n">
        <f aca="false">SIN(J8)</f>
        <v>-0.271550101797676</v>
      </c>
      <c r="L8" s="0" t="n">
        <f aca="false">COS(J8)*$C$2</f>
        <v>2.33298234967436E-005</v>
      </c>
      <c r="M8" s="0" t="n">
        <f aca="false">L8/K8*100</f>
        <v>-0.00859135140892931</v>
      </c>
      <c r="N8" s="0" t="n">
        <v>546.1</v>
      </c>
    </row>
    <row r="9" customFormat="false" ht="12.8" hidden="false" customHeight="false" outlineLevel="0" collapsed="false">
      <c r="A9" s="0" t="s">
        <v>35</v>
      </c>
      <c r="B9" s="0" t="s">
        <v>36</v>
      </c>
      <c r="C9" s="0" t="n">
        <f aca="false"> 163 +  3/60 + 57/3600</f>
        <v>163.065833333333</v>
      </c>
      <c r="D9" s="0" t="n">
        <f aca="false">(180-C9)*PI()/180</f>
        <v>0.295556964414806</v>
      </c>
      <c r="E9" s="0" t="n">
        <f aca="false">SIN(D9)</f>
        <v>0.291272709746264</v>
      </c>
      <c r="F9" s="0" t="n">
        <f aca="false">COS(D9)*$C$2</f>
        <v>2.31896095019817E-005</v>
      </c>
      <c r="G9" s="0" t="n">
        <f aca="false">F9/E9*100</f>
        <v>0.00796147689983825</v>
      </c>
      <c r="H9" s="0" t="s">
        <v>37</v>
      </c>
      <c r="I9" s="0" t="n">
        <f aca="false">196+ 39/6041/3600</f>
        <v>196.000001793301</v>
      </c>
      <c r="J9" s="0" t="n">
        <f aca="false">(180-I9)*PI()/180</f>
        <v>-0.279252711618105</v>
      </c>
      <c r="K9" s="0" t="n">
        <f aca="false">SIN(J9)</f>
        <v>-0.275637385903541</v>
      </c>
      <c r="L9" s="0" t="n">
        <f aca="false">COS(J9)*$C$2</f>
        <v>2.33016408567439E-005</v>
      </c>
      <c r="M9" s="0" t="n">
        <f aca="false">L9/K9*100</f>
        <v>-0.00845373017174757</v>
      </c>
      <c r="N9" s="0" t="n">
        <v>577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n">
        <f aca="false">162 + 59 /60 + 38/3600</f>
        <v>162.993888888889</v>
      </c>
      <c r="D10" s="0" t="n">
        <f aca="false">(180-C10)*PI()/180</f>
        <v>0.29681263184888</v>
      </c>
      <c r="E10" s="0" t="n">
        <f aca="false">SIN(D10)</f>
        <v>0.292473701577892</v>
      </c>
      <c r="F10" s="0" t="n">
        <f aca="false">COS(D10)*$C$2</f>
        <v>2.31807253948465E-005</v>
      </c>
      <c r="G10" s="0" t="n">
        <f aca="false">F10/E10*100</f>
        <v>0.00792574692007751</v>
      </c>
      <c r="H10" s="0" t="s">
        <v>40</v>
      </c>
      <c r="I10" s="0" t="n">
        <f aca="false">196+ 43/60 + 44/3600</f>
        <v>196.728888888889</v>
      </c>
      <c r="J10" s="0" t="n">
        <f aca="false">(180-I10)*PI()/180</f>
        <v>-0.291974191311407</v>
      </c>
      <c r="K10" s="0" t="n">
        <f aca="false">SIN(J10)</f>
        <v>-0.28784342336985</v>
      </c>
      <c r="L10" s="0" t="n">
        <f aca="false">COS(J10)*$C$2</f>
        <v>2.32147573200058E-005</v>
      </c>
      <c r="M10" s="0" t="n">
        <f aca="false">L10/K10*100</f>
        <v>-0.00806506434929978</v>
      </c>
      <c r="N10" s="0" t="n">
        <v>579.1</v>
      </c>
    </row>
    <row r="11" customFormat="false" ht="12.8" hidden="false" customHeight="false" outlineLevel="0" collapsed="false">
      <c r="C11" s="1"/>
    </row>
    <row r="12" customFormat="false" ht="12.8" hidden="false" customHeight="false" outlineLevel="0" collapsed="false">
      <c r="A12" s="0" t="s">
        <v>41</v>
      </c>
    </row>
    <row r="13" customFormat="false" ht="12.8" hidden="false" customHeight="false" outlineLevel="0" collapsed="false">
      <c r="A13" s="2" t="n">
        <v>421.38</v>
      </c>
      <c r="B13" s="2" t="n">
        <v>0.16008</v>
      </c>
      <c r="C13" s="0" t="n">
        <f aca="false">B13/A13*100</f>
        <v>0.0379894631923679</v>
      </c>
    </row>
    <row r="15" customFormat="false" ht="12.8" hidden="false" customHeight="false" outlineLevel="0" collapsed="false">
      <c r="A15" s="0" t="s">
        <v>42</v>
      </c>
    </row>
    <row r="16" customFormat="false" ht="12.8" hidden="false" customHeight="false" outlineLevel="0" collapsed="false">
      <c r="A16" s="2" t="n">
        <v>2.373</v>
      </c>
      <c r="B16" s="2" t="n">
        <v>0.001</v>
      </c>
      <c r="C16" s="0" t="n">
        <f aca="false">B16/A16*100</f>
        <v>0.0421407501053519</v>
      </c>
    </row>
    <row r="18" customFormat="false" ht="12.8" hidden="false" customHeight="false" outlineLevel="0" collapsed="false">
      <c r="A18" s="0" t="s">
        <v>43</v>
      </c>
      <c r="G18" s="0" t="s">
        <v>44</v>
      </c>
      <c r="I18" s="0" t="s">
        <v>45</v>
      </c>
      <c r="M18" s="0" t="s">
        <v>46</v>
      </c>
      <c r="O18" s="0" t="s">
        <v>47</v>
      </c>
    </row>
    <row r="19" customFormat="false" ht="12.8" hidden="false" customHeight="false" outlineLevel="0" collapsed="false">
      <c r="A19" s="2" t="n">
        <v>382.52</v>
      </c>
      <c r="B19" s="2" t="n">
        <v>0.1603</v>
      </c>
      <c r="C19" s="0" t="n">
        <f aca="false">B19/A19*100</f>
        <v>0.0419063055526508</v>
      </c>
      <c r="G19" s="0" t="n">
        <f aca="false">152</f>
        <v>152</v>
      </c>
      <c r="I19" s="0" t="n">
        <f aca="false">N9*K28/G19*10</f>
        <v>408.94875</v>
      </c>
      <c r="J19" s="0" t="n">
        <f aca="false">I19*SQRT((5/G19)^2)</f>
        <v>13.4522615131579</v>
      </c>
      <c r="K19" s="0" t="n">
        <f aca="false">J19/I19*100</f>
        <v>3.28947368421053</v>
      </c>
      <c r="M19" s="0" t="n">
        <f aca="false">I19/1</f>
        <v>408.94875</v>
      </c>
      <c r="O19" s="0" t="n">
        <f aca="false">M19*2</f>
        <v>817.8975</v>
      </c>
    </row>
    <row r="21" customFormat="false" ht="12.8" hidden="false" customHeight="false" outlineLevel="0" collapsed="false">
      <c r="A21" s="0" t="s">
        <v>48</v>
      </c>
    </row>
    <row r="22" customFormat="false" ht="12.8" hidden="false" customHeight="false" outlineLevel="0" collapsed="false">
      <c r="A22" s="2" t="n">
        <v>2.614</v>
      </c>
      <c r="B22" s="2" t="n">
        <v>0.001</v>
      </c>
      <c r="C22" s="0" t="n">
        <f aca="false">B22/A22*100</f>
        <v>0.0382555470543229</v>
      </c>
    </row>
    <row r="23" customFormat="false" ht="12.8" hidden="false" customHeight="false" outlineLevel="0" collapsed="false">
      <c r="G23" s="0" t="s">
        <v>49</v>
      </c>
    </row>
    <row r="24" customFormat="false" ht="12.8" hidden="false" customHeight="false" outlineLevel="0" collapsed="false">
      <c r="A24" s="0" t="s">
        <v>50</v>
      </c>
      <c r="G24" s="0" t="n">
        <f aca="false">(N10-N9)*10</f>
        <v>21.0000000000002</v>
      </c>
    </row>
    <row r="25" customFormat="false" ht="12.8" hidden="false" customHeight="false" outlineLevel="0" collapsed="false">
      <c r="A25" s="0" t="n">
        <f aca="false">(A22+A16)/2</f>
        <v>2.4935</v>
      </c>
      <c r="B25" s="0" t="n">
        <f aca="false">SQRT(B22^2+B16^2)/2</f>
        <v>0.000707106781186548</v>
      </c>
      <c r="C25" s="0" t="n">
        <f aca="false">B25/A25*100</f>
        <v>0.0283580020527992</v>
      </c>
    </row>
    <row r="26" customFormat="false" ht="12.8" hidden="false" customHeight="false" outlineLevel="0" collapsed="false">
      <c r="A26" s="0" t="s">
        <v>51</v>
      </c>
    </row>
    <row r="27" customFormat="false" ht="12.8" hidden="false" customHeight="false" outlineLevel="0" collapsed="false">
      <c r="A27" s="0" t="s">
        <v>52</v>
      </c>
      <c r="B27" s="0" t="n">
        <v>1</v>
      </c>
      <c r="E27" s="0" t="n">
        <v>2</v>
      </c>
      <c r="H27" s="0" t="s">
        <v>53</v>
      </c>
      <c r="I27" s="0" t="s">
        <v>54</v>
      </c>
      <c r="J27" s="0" t="s">
        <v>55</v>
      </c>
      <c r="K27" s="0" t="s">
        <v>56</v>
      </c>
    </row>
    <row r="28" customFormat="false" ht="12.8" hidden="false" customHeight="false" outlineLevel="0" collapsed="false">
      <c r="A28" s="0" t="n">
        <v>1</v>
      </c>
      <c r="B28" s="0" t="s">
        <v>36</v>
      </c>
      <c r="C28" s="0" t="n">
        <f aca="false">162+ 63/60 + 57/3600</f>
        <v>163.065833333333</v>
      </c>
      <c r="D28" s="0" t="n">
        <f aca="false">(180-C28)*PI()/180</f>
        <v>0.295556964414806</v>
      </c>
      <c r="E28" s="0" t="s">
        <v>39</v>
      </c>
      <c r="F28" s="0" t="n">
        <f aca="false">162+ 59/60 +38/3600</f>
        <v>162.993888888889</v>
      </c>
      <c r="G28" s="0" t="n">
        <f aca="false">(180-F28)*PI()/180</f>
        <v>0.29681263184888</v>
      </c>
      <c r="H28" s="0" t="n">
        <f aca="false">ABS(F28-C28)*3600</f>
        <v>259.00000000014</v>
      </c>
      <c r="I28" s="0" t="n">
        <v>5</v>
      </c>
      <c r="J28" s="0" t="n">
        <f aca="false">H28/$G$24</f>
        <v>12.3333333333398</v>
      </c>
      <c r="K28" s="2" t="n">
        <v>10.773</v>
      </c>
      <c r="L28" s="0" t="n">
        <f aca="false">J28-K28</f>
        <v>1.56033333333985</v>
      </c>
      <c r="M28" s="0" t="n">
        <f aca="false">L28/K28*100</f>
        <v>14.4837402147948</v>
      </c>
    </row>
    <row r="29" customFormat="false" ht="12.8" hidden="false" customHeight="false" outlineLevel="0" collapsed="false">
      <c r="A29" s="0" t="n">
        <v>-1</v>
      </c>
      <c r="B29" s="0" t="s">
        <v>37</v>
      </c>
      <c r="C29" s="0" t="n">
        <f aca="false">196+ 39/60 +41/3600</f>
        <v>196.661388888889</v>
      </c>
      <c r="D29" s="0" t="n">
        <f aca="false">(180-C29)*PI()/180</f>
        <v>-0.290796094066311</v>
      </c>
      <c r="E29" s="0" t="s">
        <v>40</v>
      </c>
      <c r="F29" s="0" t="n">
        <f aca="false">196+ 43/60 +44/3600</f>
        <v>196.728888888889</v>
      </c>
      <c r="G29" s="0" t="n">
        <f aca="false">(180-F29)*PI()/180</f>
        <v>-0.291974191311407</v>
      </c>
      <c r="H29" s="0" t="n">
        <f aca="false">ABS(F29-C29)*3600</f>
        <v>242.999999999984</v>
      </c>
      <c r="I29" s="0" t="n">
        <v>5</v>
      </c>
      <c r="J29" s="0" t="n">
        <f aca="false">H29/$G$24</f>
        <v>11.5714285714277</v>
      </c>
      <c r="K29" s="2" t="n">
        <v>10.773</v>
      </c>
      <c r="L29" s="0" t="n">
        <f aca="false">J29-K29</f>
        <v>0.798428571427667</v>
      </c>
      <c r="M29" s="0" t="n">
        <f aca="false">L29/K29*100</f>
        <v>7.41138560686594</v>
      </c>
    </row>
    <row r="30" customFormat="false" ht="12.8" hidden="false" customHeight="false" outlineLevel="0" collapsed="false">
      <c r="A30" s="0" t="n">
        <v>2</v>
      </c>
      <c r="B30" s="0" t="s">
        <v>57</v>
      </c>
      <c r="C30" s="0" t="n">
        <f aca="false">143+ 51/60 +38/3600</f>
        <v>143.860555555556</v>
      </c>
      <c r="D30" s="0" t="n">
        <f aca="false">(180-C30)*PI()/180</f>
        <v>0.630752295397129</v>
      </c>
      <c r="E30" s="0" t="s">
        <v>58</v>
      </c>
      <c r="F30" s="0" t="n">
        <f aca="false">143+ 42/60 +12/3600</f>
        <v>143.703333333333</v>
      </c>
      <c r="G30" s="0" t="n">
        <f aca="false">(180-F30)*PI()/180</f>
        <v>0.633496340832209</v>
      </c>
      <c r="H30" s="0" t="n">
        <f aca="false">ABS(F30-C30)*3600</f>
        <v>566.000000000031</v>
      </c>
      <c r="I30" s="0" t="n">
        <v>5</v>
      </c>
      <c r="J30" s="0" t="n">
        <f aca="false">H30/$G$24</f>
        <v>26.9523809523821</v>
      </c>
      <c r="K30" s="2" t="n">
        <v>25.278</v>
      </c>
      <c r="L30" s="0" t="n">
        <f aca="false">J30-K30</f>
        <v>1.67438095238213</v>
      </c>
      <c r="M30" s="0" t="n">
        <f aca="false">L30/K30*100</f>
        <v>6.6238664149938</v>
      </c>
    </row>
    <row r="31" customFormat="false" ht="12.8" hidden="false" customHeight="false" outlineLevel="0" collapsed="false">
      <c r="A31" s="0" t="n">
        <v>-2</v>
      </c>
      <c r="B31" s="0" t="s">
        <v>59</v>
      </c>
      <c r="C31" s="0" t="n">
        <f aca="false">214+ 33/60 +11/3600</f>
        <v>214.553055555556</v>
      </c>
      <c r="D31" s="0" t="n">
        <f aca="false">(180-C31)*PI()/180</f>
        <v>-0.603064586068963</v>
      </c>
      <c r="E31" s="0" t="s">
        <v>60</v>
      </c>
      <c r="F31" s="0" t="n">
        <f aca="false">214+ 42/60 +19/3600</f>
        <v>214.705277777778</v>
      </c>
      <c r="G31" s="0" t="n">
        <f aca="false">(180-F31)*PI()/180</f>
        <v>-0.605721365041443</v>
      </c>
      <c r="H31" s="0" t="n">
        <f aca="false">ABS(F31-C31)*3600</f>
        <v>547.999999999945</v>
      </c>
      <c r="I31" s="0" t="n">
        <v>5</v>
      </c>
      <c r="J31" s="0" t="n">
        <f aca="false">H31/$G$24</f>
        <v>26.0952380952352</v>
      </c>
      <c r="K31" s="2" t="n">
        <v>25.278</v>
      </c>
      <c r="L31" s="0" t="n">
        <f aca="false">J31-K31</f>
        <v>0.817238095235194</v>
      </c>
      <c r="M31" s="0" t="n">
        <f aca="false">L31/K31*100</f>
        <v>3.23300140531369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2026-02-14T15:48:55Z</dcterms:created>
  <dc:creator/>
  <dc:description/>
  <dc:language>ru-RU</dc:language>
  <cp:lastModifiedBy/>
  <dcterms:modified xsi:type="dcterms:W3CDTF">2026-02-14T22:38:29Z</dcterms:modified>
  <cp:revision>2</cp:revision>
  <dc:subject/>
  <dc:title/>
</cp:coreProperties>
</file>