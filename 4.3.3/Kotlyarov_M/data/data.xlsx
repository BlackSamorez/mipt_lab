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<sst xmlns="http://schemas.openxmlformats.org/spreadsheetml/2006/main" count="33" uniqueCount="29">
  <si>
    <t xml:space="preserve">\lambda, нм</t>
  </si>
  <si>
    <t xml:space="preserve">F_1, мм</t>
  </si>
  <si>
    <t xml:space="preserve">F_2, мм</t>
  </si>
  <si>
    <t xml:space="preserve">I</t>
  </si>
  <si>
    <t xml:space="preserve">L, см</t>
  </si>
  <si>
    <t xml:space="preserve">II</t>
  </si>
  <si>
    <t xml:space="preserve">III</t>
  </si>
  <si>
    <t xml:space="preserve">B_2, мм</t>
  </si>
  <si>
    <t xml:space="preserve">D, мм</t>
  </si>
  <si>
    <t xml:space="preserve">a_2+b_1, мм</t>
  </si>
  <si>
    <t xml:space="preserve">d </t>
  </si>
  <si>
    <t xml:space="preserve">для других сеток D должно было бы быть</t>
  </si>
  <si>
    <t xml:space="preserve">Решетка 1 верх</t>
  </si>
  <si>
    <t xml:space="preserve">l_m, мм</t>
  </si>
  <si>
    <t xml:space="preserve">m</t>
  </si>
  <si>
    <t xml:space="preserve">l_1, мм</t>
  </si>
  <si>
    <t xml:space="preserve">A_1, мм</t>
  </si>
  <si>
    <t xml:space="preserve">период по горизонтали</t>
  </si>
  <si>
    <t xml:space="preserve">по вертикали</t>
  </si>
  <si>
    <t xml:space="preserve">A_2, мм</t>
  </si>
  <si>
    <t xml:space="preserve">по диагонали</t>
  </si>
  <si>
    <t xml:space="preserve">Г</t>
  </si>
  <si>
    <t xml:space="preserve">погр итог</t>
  </si>
  <si>
    <t xml:space="preserve">верхние</t>
  </si>
  <si>
    <t xml:space="preserve">l, мм</t>
  </si>
  <si>
    <t xml:space="preserve">d, м</t>
  </si>
  <si>
    <t xml:space="preserve">\sigma_d, м</t>
  </si>
  <si>
    <t xml:space="preserve">\varepsilon_d, \%</t>
  </si>
  <si>
    <t xml:space="preserve">нижние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</si>
</sst>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0"/>
  <sheetViews>
    <sheetView showFormulas="false" showGridLines="true" showRowColHeaders="true" showZeros="true" rightToLeft="false" tabSelected="true" showOutlineSymbols="true" defaultGridColor="true" view="normal" topLeftCell="E1" colorId="64" zoomScale="140" zoomScaleNormal="140" zoomScalePageLayoutView="100" workbookViewId="0">
      <selection pane="topLeft" activeCell="P9" activeCellId="0" sqref="P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G1" s="1"/>
    </row>
    <row r="2" customFormat="false" ht="12.8" hidden="false" customHeight="false" outlineLevel="0" collapsed="false">
      <c r="A2" s="1" t="n">
        <v>532</v>
      </c>
      <c r="B2" s="1" t="n">
        <v>110</v>
      </c>
      <c r="C2" s="1" t="n">
        <v>25</v>
      </c>
      <c r="H2" s="2"/>
      <c r="M2" s="1"/>
    </row>
    <row r="3" customFormat="false" ht="12.8" hidden="false" customHeight="false" outlineLevel="0" collapsed="false">
      <c r="A3" s="1"/>
      <c r="H3" s="2"/>
      <c r="I3" s="2"/>
      <c r="K3" s="2"/>
    </row>
    <row r="4" customFormat="false" ht="12.8" hidden="false" customHeight="false" outlineLevel="0" collapsed="false">
      <c r="A4" s="2"/>
      <c r="B4" s="1" t="s">
        <v>3</v>
      </c>
      <c r="C4" s="1"/>
      <c r="H4" s="2"/>
      <c r="I4" s="2"/>
      <c r="K4" s="2"/>
      <c r="L4" s="2"/>
      <c r="N4" s="1"/>
      <c r="O4" s="1"/>
      <c r="P4" s="1"/>
      <c r="Q4" s="1"/>
      <c r="S4" s="1"/>
      <c r="W4" s="1"/>
      <c r="Y4" s="1"/>
    </row>
    <row r="5" customFormat="false" ht="12.8" hidden="false" customHeight="false" outlineLevel="0" collapsed="false">
      <c r="A5" s="1"/>
      <c r="B5" s="1"/>
      <c r="C5" s="1" t="s">
        <v>4</v>
      </c>
      <c r="D5" s="1"/>
      <c r="G5" s="1"/>
      <c r="H5" s="1"/>
      <c r="J5" s="2" t="s">
        <v>5</v>
      </c>
      <c r="M5" s="1"/>
      <c r="N5" s="1"/>
      <c r="O5" s="1"/>
      <c r="P5" s="1"/>
      <c r="Q5" s="1" t="s">
        <v>6</v>
      </c>
      <c r="S5" s="1"/>
      <c r="W5" s="1"/>
      <c r="Y5" s="1"/>
    </row>
    <row r="6" customFormat="false" ht="12.8" hidden="false" customHeight="false" outlineLevel="0" collapsed="false">
      <c r="A6" s="1"/>
      <c r="B6" s="1"/>
      <c r="C6" s="1" t="n">
        <v>100</v>
      </c>
      <c r="D6" s="1"/>
      <c r="G6" s="1"/>
      <c r="H6" s="1"/>
      <c r="K6" s="2" t="s">
        <v>7</v>
      </c>
      <c r="M6" s="1"/>
      <c r="R6" s="0" t="s">
        <v>8</v>
      </c>
      <c r="S6" s="1"/>
      <c r="Y6" s="1"/>
    </row>
    <row r="7" customFormat="false" ht="12.8" hidden="false" customHeight="false" outlineLevel="0" collapsed="false">
      <c r="A7" s="2"/>
      <c r="B7" s="1"/>
      <c r="C7" s="1" t="n">
        <v>1</v>
      </c>
      <c r="D7" s="1"/>
      <c r="E7" s="2"/>
      <c r="I7" s="2"/>
      <c r="J7" s="2"/>
      <c r="K7" s="2" t="n">
        <v>479</v>
      </c>
      <c r="N7" s="1"/>
      <c r="O7" s="1"/>
      <c r="R7" s="0" t="n">
        <v>2.17</v>
      </c>
    </row>
    <row r="8" customFormat="false" ht="12.8" hidden="false" customHeight="false" outlineLevel="0" collapsed="false">
      <c r="A8" s="1"/>
      <c r="B8" s="1"/>
      <c r="C8" s="1" t="n">
        <f aca="false">C7/C6*100</f>
        <v>1</v>
      </c>
      <c r="D8" s="1"/>
      <c r="E8" s="2"/>
      <c r="G8" s="1"/>
      <c r="H8" s="1"/>
      <c r="I8" s="1"/>
      <c r="J8" s="1"/>
      <c r="K8" s="1" t="s">
        <v>9</v>
      </c>
      <c r="M8" s="1"/>
      <c r="N8" s="1"/>
      <c r="O8" s="1"/>
      <c r="P8" s="1"/>
      <c r="Q8" s="1"/>
      <c r="S8" s="1"/>
      <c r="T8" s="1"/>
      <c r="U8" s="1"/>
      <c r="W8" s="1"/>
      <c r="Y8" s="1"/>
      <c r="Z8" s="1"/>
      <c r="AA8" s="1"/>
    </row>
    <row r="9" customFormat="false" ht="12.8" hidden="false" customHeight="false" outlineLevel="0" collapsed="false">
      <c r="A9" s="1"/>
      <c r="B9" s="1"/>
      <c r="C9" s="1"/>
      <c r="D9" s="1"/>
      <c r="G9" s="1"/>
      <c r="H9" s="1"/>
      <c r="I9" s="2"/>
      <c r="J9" s="2"/>
      <c r="K9" s="1" t="n">
        <f aca="false">1+(120-50)+6.6</f>
        <v>77.6</v>
      </c>
      <c r="M9" s="1"/>
      <c r="N9" s="1"/>
      <c r="O9" s="1"/>
      <c r="R9" s="0" t="s">
        <v>10</v>
      </c>
      <c r="S9" s="1"/>
      <c r="T9" s="1" t="s">
        <v>11</v>
      </c>
      <c r="U9" s="1"/>
      <c r="Y9" s="1"/>
      <c r="Z9" s="1"/>
      <c r="AA9" s="1"/>
    </row>
    <row r="10" customFormat="false" ht="12.8" hidden="false" customHeight="false" outlineLevel="0" collapsed="false">
      <c r="A10" s="1"/>
      <c r="B10" s="1"/>
      <c r="C10" s="1" t="s">
        <v>12</v>
      </c>
      <c r="E10" s="2" t="s">
        <v>13</v>
      </c>
      <c r="F10" s="3" t="s">
        <v>14</v>
      </c>
      <c r="G10" s="1" t="s">
        <v>15</v>
      </c>
      <c r="H10" s="1"/>
      <c r="I10" s="1"/>
      <c r="J10" s="1"/>
      <c r="K10" s="2" t="s">
        <v>16</v>
      </c>
      <c r="M10" s="1"/>
      <c r="N10" s="1"/>
      <c r="O10" s="1"/>
      <c r="R10" s="1" t="n">
        <f aca="false">2*B2*A2/R7/10^9</f>
        <v>5.39354838709677E-005</v>
      </c>
      <c r="S10" s="1"/>
      <c r="T10" s="1" t="n">
        <v>1</v>
      </c>
      <c r="U10" s="1" t="n">
        <v>2</v>
      </c>
      <c r="Y10" s="1"/>
      <c r="Z10" s="1"/>
      <c r="AA10" s="1"/>
    </row>
    <row r="11" customFormat="false" ht="12.8" hidden="false" customHeight="false" outlineLevel="0" collapsed="false">
      <c r="A11" s="1"/>
      <c r="B11" s="1"/>
      <c r="C11" s="1"/>
      <c r="D11" s="2" t="s">
        <v>17</v>
      </c>
      <c r="E11" s="2" t="n">
        <v>215.5</v>
      </c>
      <c r="F11" s="2" t="n">
        <v>5</v>
      </c>
      <c r="G11" s="1" t="n">
        <f aca="false">E11/(F11-1)</f>
        <v>53.875</v>
      </c>
      <c r="H11" s="1"/>
      <c r="K11" s="1" t="n">
        <v>135</v>
      </c>
      <c r="M11" s="1"/>
      <c r="N11" s="1"/>
      <c r="O11" s="1"/>
      <c r="Q11" s="1"/>
      <c r="R11" s="1" t="n">
        <f aca="false">R10*0.01/R7</f>
        <v>2.48550616916902E-007</v>
      </c>
      <c r="S11" s="1"/>
      <c r="T11" s="1" t="n">
        <f aca="false">2*B2*A2/F20/10^9</f>
        <v>11.8525</v>
      </c>
      <c r="U11" s="1" t="n">
        <f aca="false">2*B2*A2/F21/10^9</f>
        <v>4.75749999999999</v>
      </c>
      <c r="Y11" s="1"/>
      <c r="Z11" s="1"/>
      <c r="AA11" s="1"/>
    </row>
    <row r="12" customFormat="false" ht="12.8" hidden="false" customHeight="false" outlineLevel="0" collapsed="false">
      <c r="A12" s="1"/>
      <c r="B12" s="1"/>
      <c r="C12" s="1"/>
      <c r="D12" s="2" t="s">
        <v>18</v>
      </c>
      <c r="E12" s="2" t="n">
        <v>215.5</v>
      </c>
      <c r="F12" s="2" t="n">
        <v>5</v>
      </c>
      <c r="G12" s="1" t="n">
        <f aca="false">E12/(F12-1)</f>
        <v>53.875</v>
      </c>
      <c r="I12" s="2"/>
      <c r="J12" s="2"/>
      <c r="K12" s="1" t="s">
        <v>19</v>
      </c>
      <c r="M12" s="1"/>
      <c r="N12" s="1"/>
      <c r="O12" s="1"/>
      <c r="R12" s="0" t="n">
        <f aca="false">R11/R10*100</f>
        <v>0.460829493087558</v>
      </c>
      <c r="S12" s="1"/>
      <c r="T12" s="1" t="n">
        <f aca="false">T11*H20/100</f>
        <v>0.12167383919444</v>
      </c>
      <c r="U12" s="1" t="n">
        <f aca="false">U11*H21/100</f>
        <v>0.0484501727371242</v>
      </c>
      <c r="Y12" s="1"/>
    </row>
    <row r="13" customFormat="false" ht="12.8" hidden="false" customHeight="false" outlineLevel="0" collapsed="false">
      <c r="A13" s="1"/>
      <c r="B13" s="1"/>
      <c r="C13" s="1"/>
      <c r="D13" s="2" t="s">
        <v>20</v>
      </c>
      <c r="E13" s="2" t="n">
        <v>228.5</v>
      </c>
      <c r="F13" s="2" t="n">
        <v>4</v>
      </c>
      <c r="G13" s="1" t="n">
        <f aca="false">E13/(F13-1)/SQRT(2)</f>
        <v>53.8579665003754</v>
      </c>
      <c r="H13" s="1"/>
      <c r="I13" s="1"/>
      <c r="J13" s="1"/>
      <c r="K13" s="1" t="n">
        <f aca="false">K7*C2/(K7-C2)</f>
        <v>26.3766519823789</v>
      </c>
      <c r="L13" s="0" t="n">
        <f aca="false">(C2^2)/(K7-C2)^2*G17</f>
        <v>0.00151623429510182</v>
      </c>
      <c r="M13" s="1"/>
      <c r="N13" s="1"/>
      <c r="O13" s="1"/>
      <c r="S13" s="1"/>
      <c r="T13" s="1" t="n">
        <f aca="false">T12/T11*100</f>
        <v>1.02656687782696</v>
      </c>
      <c r="U13" s="1" t="n">
        <f aca="false">U12/U11*100</f>
        <v>1.0183956434498</v>
      </c>
      <c r="Y13" s="1"/>
      <c r="Z13" s="1"/>
      <c r="AA13" s="1"/>
    </row>
    <row r="14" customFormat="false" ht="12.8" hidden="false" customHeight="false" outlineLevel="0" collapsed="false">
      <c r="A14" s="1"/>
      <c r="B14" s="1"/>
      <c r="C14" s="1"/>
      <c r="D14" s="1"/>
      <c r="G14" s="1" t="n">
        <f aca="false">_xlfn.STDEV.S(G11:G13)/SQRT(3)</f>
        <v>0.00567783320821036</v>
      </c>
      <c r="H14" s="1"/>
      <c r="I14" s="2"/>
      <c r="J14" s="2"/>
      <c r="M14" s="1"/>
      <c r="N14" s="1"/>
      <c r="O14" s="1"/>
      <c r="S14" s="1"/>
      <c r="T14" s="1"/>
      <c r="U14" s="1"/>
    </row>
    <row r="15" customFormat="false" ht="12.8" hidden="false" customHeight="false" outlineLevel="0" collapsed="false">
      <c r="A15" s="1"/>
      <c r="B15" s="1"/>
      <c r="C15" s="1"/>
      <c r="D15" s="1"/>
      <c r="G15" s="1"/>
      <c r="H15" s="1"/>
      <c r="I15" s="1"/>
      <c r="J15" s="1"/>
      <c r="K15" s="2" t="s">
        <v>21</v>
      </c>
      <c r="M15" s="1"/>
      <c r="N15" s="1"/>
      <c r="O15" s="1"/>
      <c r="S15" s="1"/>
      <c r="T15" s="1"/>
      <c r="U15" s="1"/>
    </row>
    <row r="16" customFormat="false" ht="12.8" hidden="false" customHeight="false" outlineLevel="0" collapsed="false">
      <c r="A16" s="1"/>
      <c r="B16" s="1"/>
      <c r="C16" s="1"/>
      <c r="G16" s="1" t="s">
        <v>22</v>
      </c>
      <c r="H16" s="1"/>
      <c r="I16" s="1"/>
      <c r="J16" s="1"/>
      <c r="K16" s="2" t="n">
        <f aca="false">K7*(K9-K13)/K11/K13</f>
        <v>6.89048888888889</v>
      </c>
      <c r="L16" s="0" t="n">
        <f aca="false">K16*G17*SQRT((1/K7)^2+(1/K11)^2+(1/(K9-K13)^2))</f>
        <v>0.0723014683863713</v>
      </c>
      <c r="M16" s="0" t="n">
        <f aca="false">L16/K16*100</f>
        <v>1.04929373738574</v>
      </c>
    </row>
    <row r="17" customFormat="false" ht="12.8" hidden="false" customHeight="false" outlineLevel="0" collapsed="false">
      <c r="B17" s="1"/>
      <c r="C17" s="2"/>
      <c r="G17" s="2" t="n">
        <f aca="false">SQRT(0.5^2 + G14^2)</f>
        <v>0.500032236750732</v>
      </c>
      <c r="H17" s="1"/>
      <c r="J17" s="1"/>
    </row>
    <row r="18" customFormat="false" ht="12.8" hidden="false" customHeight="false" outlineLevel="0" collapsed="false">
      <c r="A18" s="1"/>
      <c r="B18" s="1"/>
      <c r="C18" s="1"/>
      <c r="G18" s="1"/>
      <c r="I18" s="2"/>
      <c r="J18" s="2"/>
      <c r="M18" s="1"/>
      <c r="N18" s="1"/>
      <c r="O18" s="1"/>
      <c r="S18" s="1"/>
      <c r="T18" s="1"/>
      <c r="U18" s="1"/>
      <c r="Y18" s="1"/>
      <c r="Z18" s="1"/>
      <c r="AA18" s="1"/>
    </row>
    <row r="19" customFormat="false" ht="12.8" hidden="false" customHeight="false" outlineLevel="0" collapsed="false">
      <c r="A19" s="3"/>
      <c r="B19" s="1"/>
      <c r="C19" s="1" t="s">
        <v>23</v>
      </c>
      <c r="D19" s="2" t="s">
        <v>24</v>
      </c>
      <c r="E19" s="3" t="s">
        <v>14</v>
      </c>
      <c r="F19" s="0" t="s">
        <v>25</v>
      </c>
      <c r="G19" s="3" t="s">
        <v>26</v>
      </c>
      <c r="H19" s="0" t="s">
        <v>27</v>
      </c>
      <c r="I19" s="1"/>
      <c r="J19" s="1"/>
      <c r="K19" s="2" t="s">
        <v>23</v>
      </c>
      <c r="L19" s="2" t="s">
        <v>24</v>
      </c>
      <c r="M19" s="3" t="s">
        <v>14</v>
      </c>
      <c r="N19" s="3"/>
      <c r="O19" s="1"/>
      <c r="P19" s="1"/>
      <c r="S19" s="3"/>
      <c r="T19" s="3"/>
      <c r="U19" s="1"/>
      <c r="V19" s="1"/>
      <c r="Y19" s="3"/>
      <c r="Z19" s="3"/>
      <c r="AA19" s="1"/>
      <c r="AB19" s="1"/>
    </row>
    <row r="20" customFormat="false" ht="12.8" hidden="false" customHeight="false" outlineLevel="0" collapsed="false">
      <c r="A20" s="1"/>
      <c r="B20" s="1"/>
      <c r="C20" s="1" t="n">
        <v>1</v>
      </c>
      <c r="D20" s="2" t="n">
        <v>215.5</v>
      </c>
      <c r="E20" s="2" t="n">
        <v>5</v>
      </c>
      <c r="F20" s="4" t="n">
        <f aca="false">$A$2*(E20-1)*$C$6/D20/10^9/10^2*10^3</f>
        <v>9.87470997679814E-006</v>
      </c>
      <c r="G20" s="2" t="n">
        <f aca="false">F20*SQRT(($C$8/100)^2+($G$17/D20)^2)</f>
        <v>1.01370501903284E-007</v>
      </c>
      <c r="H20" s="2" t="n">
        <f aca="false">G20/F20*100</f>
        <v>1.02656687782696</v>
      </c>
      <c r="I20" s="2"/>
      <c r="J20" s="2"/>
      <c r="K20" s="2" t="n">
        <v>1</v>
      </c>
      <c r="L20" s="2" t="n">
        <v>30</v>
      </c>
      <c r="M20" s="1" t="n">
        <v>20</v>
      </c>
      <c r="N20" s="4" t="n">
        <f aca="false">$A$2*(M20-1)*$C$6/L20/10^9/10^2*10^3/$K$16</f>
        <v>4.88983203901029E-005</v>
      </c>
      <c r="O20" s="1" t="n">
        <f aca="false">N20*SQRT(($M$16/100)^2+($C$8/100)^2+($G$17/L20)^2)</f>
        <v>1.0801054926453E-006</v>
      </c>
      <c r="P20" s="0" t="n">
        <f aca="false">O20/N20*100</f>
        <v>2.20888055873574</v>
      </c>
      <c r="S20" s="1"/>
      <c r="T20" s="1"/>
      <c r="U20" s="1"/>
      <c r="Y20" s="1"/>
      <c r="Z20" s="1"/>
      <c r="AA20" s="1"/>
    </row>
    <row r="21" customFormat="false" ht="12.8" hidden="false" customHeight="false" outlineLevel="0" collapsed="false">
      <c r="A21" s="1"/>
      <c r="B21" s="1"/>
      <c r="C21" s="1" t="n">
        <v>2</v>
      </c>
      <c r="D21" s="2" t="n">
        <v>259.5</v>
      </c>
      <c r="E21" s="2" t="n">
        <v>13</v>
      </c>
      <c r="F21" s="4" t="n">
        <f aca="false">$A$2*(E21-1)*$C$6/D21/10^9/10^2*10^3</f>
        <v>2.46011560693642E-005</v>
      </c>
      <c r="G21" s="2" t="n">
        <f aca="false">F21*SQRT(($C$8/100)^2+($G$17/D21)^2)</f>
        <v>2.50537101648691E-007</v>
      </c>
      <c r="H21" s="2" t="n">
        <f aca="false">G21/F21*100</f>
        <v>1.0183956434498</v>
      </c>
      <c r="I21" s="1"/>
      <c r="J21" s="1"/>
      <c r="K21" s="2" t="n">
        <v>2</v>
      </c>
      <c r="L21" s="2" t="n">
        <v>95</v>
      </c>
      <c r="M21" s="1" t="n">
        <v>27</v>
      </c>
      <c r="N21" s="4" t="n">
        <f aca="false">$A$2*(M21-1)*$C$6/L21/10^9/10^2*10^3/$K$16</f>
        <v>2.1130576124255E-005</v>
      </c>
      <c r="O21" s="1" t="n">
        <f aca="false">N21*SQRT(($M$16/100)^2+($C$8/100)^2+($G$17/L21)^2)</f>
        <v>3.25853858590593E-007</v>
      </c>
      <c r="P21" s="0" t="n">
        <f aca="false">O21/N21*100</f>
        <v>1.54209642309069</v>
      </c>
      <c r="S21" s="1"/>
      <c r="T21" s="1"/>
      <c r="U21" s="1"/>
      <c r="Y21" s="1"/>
      <c r="Z21" s="1"/>
      <c r="AA21" s="1"/>
    </row>
    <row r="22" customFormat="false" ht="12.8" hidden="false" customHeight="false" outlineLevel="0" collapsed="false">
      <c r="A22" s="1"/>
      <c r="B22" s="5"/>
      <c r="C22" s="5" t="n">
        <v>3</v>
      </c>
      <c r="D22" s="2" t="n">
        <v>255.5</v>
      </c>
      <c r="E22" s="2" t="n">
        <v>25</v>
      </c>
      <c r="F22" s="4" t="n">
        <f aca="false">$A$2*(E22-1)*$C$6/D22/10^9/10^2*10^3</f>
        <v>4.9972602739726E-005</v>
      </c>
      <c r="G22" s="2" t="n">
        <f aca="false">F22*SQRT(($C$8/100)^2+($G$17/D22)^2)</f>
        <v>5.09206197814929E-007</v>
      </c>
      <c r="H22" s="2" t="n">
        <f aca="false">G22/F22*100</f>
        <v>1.01897073575904</v>
      </c>
      <c r="I22" s="2"/>
      <c r="J22" s="2"/>
      <c r="K22" s="2" t="n">
        <v>3</v>
      </c>
      <c r="L22" s="2" t="n">
        <v>268</v>
      </c>
      <c r="M22" s="1" t="n">
        <v>39</v>
      </c>
      <c r="N22" s="4" t="n">
        <f aca="false">$A$2*(M22-1)*$C$6/L22/10^9/10^2*10^3/$K$16</f>
        <v>1.09473851619633E-005</v>
      </c>
      <c r="O22" s="1" t="n">
        <f aca="false">N22*SQRT(($M$16/100)^2+($C$8/100)^2+($G$17/L22)^2)</f>
        <v>1.5999029977087E-007</v>
      </c>
      <c r="P22" s="0" t="n">
        <f aca="false">O22/N22*100</f>
        <v>1.4614476188045</v>
      </c>
      <c r="S22" s="1"/>
      <c r="T22" s="1"/>
      <c r="U22" s="1"/>
      <c r="Y22" s="1"/>
      <c r="Z22" s="1"/>
      <c r="AA22" s="1"/>
    </row>
    <row r="23" customFormat="false" ht="12.8" hidden="false" customHeight="false" outlineLevel="0" collapsed="false">
      <c r="A23" s="1"/>
      <c r="B23" s="1"/>
      <c r="C23" s="1" t="s">
        <v>28</v>
      </c>
      <c r="F23" s="4"/>
      <c r="I23" s="1"/>
      <c r="J23" s="1"/>
      <c r="M23" s="1"/>
      <c r="N23" s="1"/>
      <c r="O23" s="1"/>
      <c r="S23" s="1"/>
      <c r="T23" s="1"/>
      <c r="U23" s="1"/>
      <c r="Y23" s="1"/>
      <c r="Z23" s="1"/>
      <c r="AA23" s="1"/>
    </row>
    <row r="24" customFormat="false" ht="12.8" hidden="false" customHeight="false" outlineLevel="0" collapsed="false">
      <c r="B24" s="2"/>
      <c r="C24" s="2" t="n">
        <v>1</v>
      </c>
      <c r="D24" s="2" t="n">
        <v>215.5</v>
      </c>
      <c r="E24" s="2" t="n">
        <v>5</v>
      </c>
      <c r="F24" s="4" t="n">
        <f aca="false">$A$2*(E24-1)*$C$6/D24/10^9/10^2*10^3</f>
        <v>9.87470997679814E-006</v>
      </c>
      <c r="G24" s="2" t="n">
        <f aca="false">F24*SQRT(($C$8/100)^2+($G$17/D24)^2)</f>
        <v>1.01370501903284E-007</v>
      </c>
      <c r="H24" s="2" t="n">
        <f aca="false">G24/F24*100</f>
        <v>1.02656687782696</v>
      </c>
    </row>
    <row r="25" customFormat="false" ht="12.8" hidden="false" customHeight="false" outlineLevel="0" collapsed="false">
      <c r="A25" s="1"/>
      <c r="B25" s="1"/>
      <c r="C25" s="1" t="n">
        <v>2</v>
      </c>
      <c r="D25" s="1" t="n">
        <v>256</v>
      </c>
      <c r="E25" s="2" t="n">
        <v>13</v>
      </c>
      <c r="F25" s="4" t="n">
        <f aca="false">$A$2*(E25-1)*$C$6/D25/10^9/10^2*10^3</f>
        <v>2.49375E-005</v>
      </c>
      <c r="G25" s="2" t="n">
        <f aca="false">F25*SQRT(($C$8/100)^2+($G$17/D25)^2)</f>
        <v>2.54087536680665E-007</v>
      </c>
      <c r="H25" s="2" t="n">
        <f aca="false">G25/F25*100</f>
        <v>1.01889739019816</v>
      </c>
    </row>
    <row r="26" customFormat="false" ht="12.8" hidden="false" customHeight="false" outlineLevel="0" collapsed="false">
      <c r="A26" s="1"/>
      <c r="B26" s="1"/>
      <c r="C26" s="1" t="n">
        <v>3</v>
      </c>
      <c r="D26" s="1" t="n">
        <v>232.5</v>
      </c>
      <c r="E26" s="2" t="n">
        <v>23</v>
      </c>
      <c r="F26" s="4" t="n">
        <f aca="false">$A$2*(E26-1)*$C$6/D26/10^9/10^2*10^3</f>
        <v>5.03397849462366E-005</v>
      </c>
      <c r="G26" s="2" t="n">
        <f aca="false">F26*SQRT(($C$8/100)^2+($G$17/D26)^2)</f>
        <v>5.14908355449467E-007</v>
      </c>
      <c r="H26" s="2" t="n">
        <f aca="false">G26/F26*100</f>
        <v>1.02286562407725</v>
      </c>
    </row>
    <row r="27" customFormat="false" ht="12.8" hidden="false" customHeight="false" outlineLevel="0" collapsed="false">
      <c r="B27" s="1"/>
      <c r="C27" s="1"/>
      <c r="D27" s="1"/>
    </row>
    <row r="28" customFormat="false" ht="12.8" hidden="false" customHeight="false" outlineLevel="0" collapsed="false">
      <c r="A28" s="1"/>
      <c r="B28" s="1"/>
      <c r="C28" s="1"/>
      <c r="D28" s="1"/>
      <c r="H28" s="2"/>
    </row>
    <row r="29" customFormat="false" ht="12.8" hidden="false" customHeight="false" outlineLevel="0" collapsed="false">
      <c r="A29" s="1"/>
      <c r="B29" s="1"/>
      <c r="C29" s="1"/>
      <c r="D29" s="1"/>
      <c r="H29" s="2"/>
    </row>
    <row r="30" customFormat="false" ht="12.8" hidden="false" customHeight="false" outlineLevel="0" collapsed="false">
      <c r="H30" s="2"/>
    </row>
    <row r="31" customFormat="false" ht="12.8" hidden="false" customHeight="false" outlineLevel="0" collapsed="false">
      <c r="B31" s="1"/>
      <c r="H31" s="2"/>
    </row>
    <row r="32" customFormat="false" ht="12.8" hidden="false" customHeight="false" outlineLevel="0" collapsed="false">
      <c r="B32" s="1"/>
      <c r="C32" s="1"/>
      <c r="H32" s="2"/>
    </row>
    <row r="33" customFormat="false" ht="12.8" hidden="false" customHeight="false" outlineLevel="0" collapsed="false">
      <c r="B33" s="1"/>
      <c r="C33" s="1"/>
      <c r="E33" s="1"/>
      <c r="F33" s="1"/>
      <c r="G33" s="1"/>
      <c r="H33" s="1"/>
      <c r="I33" s="1"/>
      <c r="J33" s="1"/>
      <c r="K33" s="1"/>
      <c r="L33" s="1"/>
    </row>
    <row r="34" customFormat="false" ht="12.8" hidden="false" customHeight="false" outlineLevel="0" collapsed="false"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2.8" hidden="false" customHeight="false" outlineLevel="0" collapsed="false">
      <c r="A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2.8" hidden="false" customHeight="false" outlineLevel="0" collapsed="false">
      <c r="A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2.8" hidden="false" customHeight="false" outlineLevel="0" collapsed="false">
      <c r="C37" s="1"/>
      <c r="D37" s="1"/>
    </row>
    <row r="38" customFormat="false" ht="12.8" hidden="false" customHeight="false" outlineLevel="0" collapsed="false">
      <c r="C38" s="1"/>
      <c r="D38" s="1"/>
      <c r="H38" s="2"/>
    </row>
    <row r="39" customFormat="false" ht="12.8" hidden="false" customHeight="false" outlineLevel="0" collapsed="false">
      <c r="E39" s="1"/>
    </row>
    <row r="40" customFormat="false" ht="12.8" hidden="false" customHeight="false" outlineLevel="0" collapsed="false">
      <c r="E40" s="1"/>
      <c r="F40" s="1"/>
      <c r="G4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2026-02-28T19:00:52Z</dcterms:created>
  <dc:creator/>
  <dc:description/>
  <dc:language>ru-RU</dc:language>
  <cp:lastModifiedBy/>
  <dcterms:modified xsi:type="dcterms:W3CDTF">2026-04-11T18:53:50Z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