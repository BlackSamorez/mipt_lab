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<sst xmlns="http://schemas.openxmlformats.org/spreadsheetml/2006/main" count="86" uniqueCount="32">
  <si>
    <t xml:space="preserve">\lambda_кр, A</t>
  </si>
  <si>
    <t xml:space="preserve">F, см</t>
  </si>
  <si>
    <t xml:space="preserve">F_линзы, см</t>
  </si>
  <si>
    <t xml:space="preserve">\nu, Гц</t>
  </si>
  <si>
    <t xml:space="preserve">n</t>
  </si>
  <si>
    <t xml:space="preserve">дел</t>
  </si>
  <si>
    <t xml:space="preserve">x, мкм</t>
  </si>
  <si>
    <t xml:space="preserve">k, мкм</t>
  </si>
  <si>
    <t xml:space="preserve">\sigma_k, мкм</t>
  </si>
  <si>
    <t xml:space="preserve">\varepsilon_k, \%</t>
  </si>
  <si>
    <t xml:space="preserve">\Lamba, мм</t>
  </si>
  <si>
    <t xml:space="preserve">\sigma_\Lamba, мкм</t>
  </si>
  <si>
    <t xml:space="preserve">\varepsilon_\Lamba, \%</t>
  </si>
  <si>
    <t xml:space="preserve">v_зв, м/с</t>
  </si>
  <si>
    <t xml:space="preserve">\sigma_v, м/с</t>
  </si>
  <si>
    <t xml:space="preserve">\varepsilon_v, \%</t>
  </si>
  <si>
    <t xml:space="preserve">v_ср</t>
  </si>
  <si>
    <t xml:space="preserve">\sigma_ср^сист</t>
  </si>
  <si>
    <t xml:space="preserve">взвеш сред</t>
  </si>
  <si>
    <t xml:space="preserve">погр сред случ</t>
  </si>
  <si>
    <t xml:space="preserve">погр итог</t>
  </si>
  <si>
    <t xml:space="preserve">относит погр</t>
  </si>
  <si>
    <t xml:space="preserve">\nu</t>
  </si>
  <si>
    <t xml:space="preserve">n, \Delta x</t>
  </si>
  <si>
    <t xml:space="preserve">\Delta x, мм</t>
  </si>
  <si>
    <t xml:space="preserve">длина волны, мм</t>
  </si>
  <si>
    <t xml:space="preserve">погр</t>
  </si>
  <si>
    <t xml:space="preserve">отн погр</t>
  </si>
  <si>
    <t xml:space="preserve">скорость, м/с</t>
  </si>
  <si>
    <t xml:space="preserve">погр </t>
  </si>
  <si>
    <t xml:space="preserve">1мм = дел</t>
  </si>
  <si>
    <t xml:space="preserve">ср ск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</si>
</sst>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K20" activeCellId="0" sqref="K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6400</v>
      </c>
      <c r="B2" s="1" t="n">
        <v>30</v>
      </c>
      <c r="C2" s="1" t="n">
        <v>110</v>
      </c>
    </row>
    <row r="3" customFormat="false" ht="12.8" hidden="false" customHeight="false" outlineLevel="0" collapsed="false">
      <c r="A3" s="1" t="n">
        <v>200</v>
      </c>
    </row>
    <row r="4" customFormat="false" ht="12.8" hidden="false" customHeight="false" outlineLevel="0" collapsed="false">
      <c r="A4" s="0" t="n">
        <f aca="false">A3/A2*100</f>
        <v>3.125</v>
      </c>
    </row>
    <row r="5" customFormat="false" ht="12.8" hidden="false" customHeight="false" outlineLevel="0" collapsed="false">
      <c r="A5" s="1" t="s">
        <v>3</v>
      </c>
      <c r="G5" s="1" t="s">
        <v>3</v>
      </c>
      <c r="M5" s="1" t="s">
        <v>3</v>
      </c>
      <c r="S5" s="1" t="s">
        <v>3</v>
      </c>
      <c r="Y5" s="1" t="s">
        <v>3</v>
      </c>
    </row>
    <row r="6" customFormat="false" ht="12.8" hidden="false" customHeight="false" outlineLevel="0" collapsed="false">
      <c r="A6" s="1" t="n">
        <f aca="false">1.02 * 10^6</f>
        <v>1020000</v>
      </c>
      <c r="C6" s="1" t="n">
        <v>3</v>
      </c>
      <c r="G6" s="1" t="n">
        <f aca="false">1.095 * 10^6</f>
        <v>1095000</v>
      </c>
      <c r="M6" s="1" t="n">
        <f aca="false">1.2 * 10^6</f>
        <v>1200000</v>
      </c>
      <c r="S6" s="1" t="n">
        <f aca="false">1.27 * 10^6</f>
        <v>1270000</v>
      </c>
      <c r="Y6" s="1" t="n">
        <f aca="false">1.36 * 10^6</f>
        <v>1360000</v>
      </c>
    </row>
    <row r="8" customFormat="false" ht="12.8" hidden="false" customHeight="false" outlineLevel="0" collapsed="false">
      <c r="A8" s="1" t="s">
        <v>4</v>
      </c>
      <c r="B8" s="1" t="s">
        <v>5</v>
      </c>
      <c r="C8" s="1" t="s">
        <v>6</v>
      </c>
      <c r="G8" s="1" t="s">
        <v>4</v>
      </c>
      <c r="H8" s="1" t="s">
        <v>5</v>
      </c>
      <c r="I8" s="1" t="s">
        <v>6</v>
      </c>
      <c r="M8" s="1" t="s">
        <v>4</v>
      </c>
      <c r="N8" s="1" t="s">
        <v>5</v>
      </c>
      <c r="O8" s="1" t="s">
        <v>6</v>
      </c>
      <c r="S8" s="1" t="s">
        <v>4</v>
      </c>
      <c r="T8" s="1" t="s">
        <v>5</v>
      </c>
      <c r="U8" s="1" t="s">
        <v>6</v>
      </c>
      <c r="Y8" s="1" t="s">
        <v>4</v>
      </c>
      <c r="Z8" s="1" t="s">
        <v>5</v>
      </c>
      <c r="AA8" s="1" t="s">
        <v>6</v>
      </c>
    </row>
    <row r="9" customFormat="false" ht="12.8" hidden="false" customHeight="false" outlineLevel="0" collapsed="false">
      <c r="A9" s="1" t="n">
        <v>1</v>
      </c>
      <c r="B9" s="1" t="n">
        <v>35</v>
      </c>
      <c r="C9" s="1" t="n">
        <f aca="false">IF(B9-B10&lt; 0, 100 + B9-B10, B9-B10)*4</f>
        <v>152</v>
      </c>
      <c r="G9" s="1" t="n">
        <v>1</v>
      </c>
      <c r="H9" s="1" t="n">
        <v>36</v>
      </c>
      <c r="I9" s="1" t="n">
        <f aca="false">IF(H9-H10&lt; 0, 100 + H9-H10, H9-H10)*4</f>
        <v>136</v>
      </c>
      <c r="M9" s="1" t="n">
        <v>1</v>
      </c>
      <c r="N9" s="1" t="n">
        <v>55</v>
      </c>
      <c r="O9" s="1" t="n">
        <f aca="false">IF(N9-N10&lt; 0, 100 + N9-N10, N9-N10)*4</f>
        <v>80</v>
      </c>
      <c r="S9" s="1" t="n">
        <v>1</v>
      </c>
      <c r="T9" s="1" t="n">
        <v>12</v>
      </c>
      <c r="U9" s="1" t="n">
        <f aca="false">IF(T9-T10&lt; 0, 100 + T9-T10, T9-T10)*4</f>
        <v>160</v>
      </c>
      <c r="Y9" s="1" t="n">
        <v>1</v>
      </c>
      <c r="Z9" s="1" t="n">
        <v>38</v>
      </c>
      <c r="AA9" s="1" t="n">
        <f aca="false">IF(Z9-Z10&lt; 0, 100 + Z9-Z10, Z9-Z10)*4</f>
        <v>176</v>
      </c>
    </row>
    <row r="10" customFormat="false" ht="12.8" hidden="false" customHeight="false" outlineLevel="0" collapsed="false">
      <c r="A10" s="1" t="n">
        <v>2</v>
      </c>
      <c r="B10" s="1" t="n">
        <v>97</v>
      </c>
      <c r="C10" s="1" t="n">
        <f aca="false">(IF(B9-B10&lt; 0, 100 + B9-B10, B9-B10) )*4 + C9</f>
        <v>304</v>
      </c>
      <c r="G10" s="1" t="n">
        <v>2</v>
      </c>
      <c r="H10" s="1" t="n">
        <v>2</v>
      </c>
      <c r="I10" s="1" t="n">
        <f aca="false">(IF(H9-H10&lt; 0, 100 + H9-H10, H9-H10) )*4 + I9</f>
        <v>272</v>
      </c>
      <c r="M10" s="1" t="n">
        <v>2</v>
      </c>
      <c r="N10" s="1" t="n">
        <v>35</v>
      </c>
      <c r="O10" s="1" t="n">
        <f aca="false">(IF(N9-N10&lt; 0, 100 + N9-N10, N9-N10) )*4 + O9</f>
        <v>160</v>
      </c>
      <c r="S10" s="1" t="n">
        <v>2</v>
      </c>
      <c r="T10" s="1" t="n">
        <v>72</v>
      </c>
      <c r="U10" s="1" t="n">
        <f aca="false">(IF(T9-T10&lt; 0, 100 + T9-T10, T9-T10) )*4 + U9</f>
        <v>320</v>
      </c>
      <c r="Y10" s="1" t="n">
        <v>2</v>
      </c>
      <c r="Z10" s="1" t="n">
        <v>94</v>
      </c>
      <c r="AA10" s="1" t="n">
        <f aca="false">(IF(Z9-Z10&lt; 0, 100 + Z9-Z10, Z9-Z10) )*4 + AA9</f>
        <v>352</v>
      </c>
    </row>
    <row r="11" customFormat="false" ht="12.8" hidden="false" customHeight="false" outlineLevel="0" collapsed="false">
      <c r="A11" s="1" t="n">
        <v>3</v>
      </c>
      <c r="B11" s="1" t="n">
        <v>64</v>
      </c>
      <c r="C11" s="1" t="n">
        <f aca="false">(IF(B10-B11&lt; 0, 100 + B10-B11, B10-B11) )*4 + C10</f>
        <v>436</v>
      </c>
      <c r="G11" s="1" t="n">
        <v>3</v>
      </c>
      <c r="H11" s="1" t="n">
        <v>69</v>
      </c>
      <c r="I11" s="1" t="n">
        <f aca="false">(IF(H10-H11&lt; 0, 100 + H10-H11, H10-H11) )*4 + I10</f>
        <v>404</v>
      </c>
      <c r="M11" s="1" t="n">
        <v>3</v>
      </c>
      <c r="N11" s="1" t="n">
        <v>96</v>
      </c>
      <c r="O11" s="1" t="n">
        <f aca="false">(IF(N10-N11&lt; 0, 100 + N10-N11, N10-N11) )*4 + O10</f>
        <v>316</v>
      </c>
      <c r="S11" s="1" t="n">
        <v>3</v>
      </c>
      <c r="T11" s="1" t="n">
        <v>30</v>
      </c>
      <c r="U11" s="1" t="n">
        <f aca="false">(IF(T10-T11&lt; 0, 100 + T10-T11, T10-T11) )*4 + U10</f>
        <v>488</v>
      </c>
      <c r="Y11" s="1" t="n">
        <v>3</v>
      </c>
      <c r="Z11" s="1" t="n">
        <v>48</v>
      </c>
      <c r="AA11" s="1" t="n">
        <f aca="false">(IF(Z10-Z11&lt; 0, 100 + Z10-Z11, Z10-Z11) )*4 + AA10</f>
        <v>536</v>
      </c>
    </row>
    <row r="12" customFormat="false" ht="12.8" hidden="false" customHeight="false" outlineLevel="0" collapsed="false">
      <c r="A12" s="1" t="n">
        <v>4</v>
      </c>
      <c r="B12" s="1" t="n">
        <v>27</v>
      </c>
      <c r="C12" s="1" t="n">
        <f aca="false">(IF(B11-B12&lt; 0, 100 + B11-B12, B11-B12) )*4 + C11</f>
        <v>584</v>
      </c>
      <c r="G12" s="1" t="n">
        <v>4</v>
      </c>
      <c r="H12" s="1" t="n">
        <v>31</v>
      </c>
      <c r="I12" s="1" t="n">
        <f aca="false">(IF(H11-H12&lt; 0, 100 + H11-H12, H11-H12) )*4 + I11</f>
        <v>556</v>
      </c>
      <c r="M12" s="1" t="n">
        <v>4</v>
      </c>
      <c r="N12" s="1" t="n">
        <v>57</v>
      </c>
      <c r="O12" s="1" t="n">
        <f aca="false">(IF(N11-N12&lt; 0, 100 + N11-N12, N11-N12) )*4 + O11</f>
        <v>472</v>
      </c>
      <c r="S12" s="1" t="n">
        <v>4</v>
      </c>
      <c r="T12" s="1" t="n">
        <v>87</v>
      </c>
      <c r="U12" s="1" t="n">
        <f aca="false">(IF(T11-T12&lt; 0, 100 + T11-T12, T11-T12) )*4 + U11</f>
        <v>660</v>
      </c>
    </row>
    <row r="13" customFormat="false" ht="12.8" hidden="false" customHeight="false" outlineLevel="0" collapsed="false">
      <c r="A13" s="1" t="n">
        <v>5</v>
      </c>
      <c r="B13" s="1" t="n">
        <v>96</v>
      </c>
      <c r="C13" s="1" t="n">
        <f aca="false">(IF(B12-B13&lt; 0, 100 + B12-B13, B12-B13) )*4 + C12</f>
        <v>708</v>
      </c>
      <c r="G13" s="1" t="n">
        <v>5</v>
      </c>
      <c r="H13" s="1" t="n">
        <v>94</v>
      </c>
      <c r="I13" s="1" t="n">
        <f aca="false">(IF(H12-H13&lt; 0, 100 + H12-H13, H12-H13) )*4 + I12</f>
        <v>704</v>
      </c>
      <c r="M13" s="1" t="n">
        <v>5</v>
      </c>
      <c r="N13" s="1" t="n">
        <v>16</v>
      </c>
      <c r="O13" s="1" t="n">
        <f aca="false">(IF(N12-N13&lt; 0, 100 + N12-N13, N12-N13) )*4 + O12</f>
        <v>636</v>
      </c>
      <c r="S13" s="1" t="n">
        <v>5</v>
      </c>
      <c r="T13" s="1" t="n">
        <v>50</v>
      </c>
      <c r="U13" s="1" t="n">
        <f aca="false">(IF(T12-T13&lt; 0, 100 + T12-T13, T12-T13) )*4 + U12</f>
        <v>808</v>
      </c>
    </row>
    <row r="14" customFormat="false" ht="12.8" hidden="false" customHeight="false" outlineLevel="0" collapsed="false">
      <c r="A14" s="1" t="n">
        <v>6</v>
      </c>
      <c r="B14" s="1" t="n">
        <v>62</v>
      </c>
      <c r="C14" s="1" t="n">
        <f aca="false">(IF(B13-B14&lt; 0, 100 + B13-B14, B13-B14) )*4 + C13</f>
        <v>844</v>
      </c>
      <c r="G14" s="1" t="n">
        <v>6</v>
      </c>
      <c r="H14" s="1" t="n">
        <v>59</v>
      </c>
      <c r="I14" s="1" t="n">
        <f aca="false">(IF(H13-H14&lt; 0, 100 + H13-H14, H13-H14) )*4 + I13</f>
        <v>844</v>
      </c>
      <c r="M14" s="1" t="n">
        <v>6</v>
      </c>
      <c r="N14" s="1" t="n">
        <v>78</v>
      </c>
      <c r="O14" s="1" t="n">
        <f aca="false">(IF(N13-N14&lt; 0, 100 + N13-N14, N13-N14) )*4 + O13</f>
        <v>788</v>
      </c>
      <c r="S14" s="1" t="n">
        <v>6</v>
      </c>
      <c r="T14" s="1" t="n">
        <v>7</v>
      </c>
      <c r="U14" s="1" t="n">
        <f aca="false">(IF(T13-T14&lt; 0, 100 + T13-T14, T13-T14) )*4 + U13</f>
        <v>980</v>
      </c>
    </row>
    <row r="15" customFormat="false" ht="12.8" hidden="false" customHeight="false" outlineLevel="0" collapsed="false">
      <c r="A15" s="1" t="n">
        <v>7</v>
      </c>
      <c r="B15" s="1" t="n">
        <v>29</v>
      </c>
      <c r="C15" s="1" t="n">
        <f aca="false">(IF(B14-B15&lt; 0, 100 + B14-B15, B14-B15) )*4 + C14</f>
        <v>976</v>
      </c>
      <c r="G15" s="1" t="n">
        <v>7</v>
      </c>
      <c r="H15" s="1" t="n">
        <v>21</v>
      </c>
      <c r="I15" s="1" t="n">
        <f aca="false">(IF(H14-H15&lt; 0, 100 + H14-H15, H14-H15) )*4 + I14</f>
        <v>996</v>
      </c>
      <c r="M15" s="1" t="n">
        <v>7</v>
      </c>
      <c r="N15" s="1" t="n">
        <v>37</v>
      </c>
      <c r="O15" s="1" t="n">
        <f aca="false">(IF(N14-N15&lt; 0, 100 + N14-N15, N14-N15) )*4 + O14</f>
        <v>952</v>
      </c>
      <c r="S15" s="1" t="n">
        <v>7</v>
      </c>
      <c r="T15" s="1" t="n">
        <v>68</v>
      </c>
      <c r="U15" s="1" t="n">
        <f aca="false">(IF(T14-T15&lt; 0, 100 + T14-T15, T14-T15) )*4 + U14</f>
        <v>1136</v>
      </c>
    </row>
    <row r="16" customFormat="false" ht="12.8" hidden="false" customHeight="false" outlineLevel="0" collapsed="false">
      <c r="A16" s="1" t="n">
        <v>8</v>
      </c>
      <c r="B16" s="1" t="n">
        <v>99</v>
      </c>
      <c r="C16" s="1" t="n">
        <f aca="false">(IF(B15-B16&lt; 0, 100 + B15-B16, B15-B16) )*4 + C15</f>
        <v>1096</v>
      </c>
      <c r="G16" s="1" t="n">
        <v>8</v>
      </c>
      <c r="H16" s="1" t="n">
        <v>87</v>
      </c>
      <c r="I16" s="1" t="n">
        <f aca="false">(IF(H15-H16&lt; 0, 100 + H15-H16, H15-H16) )*4 + I15</f>
        <v>1132</v>
      </c>
    </row>
    <row r="18" customFormat="false" ht="12.8" hidden="false" customHeight="false" outlineLevel="0" collapsed="false">
      <c r="A18" s="1" t="s">
        <v>7</v>
      </c>
      <c r="B18" s="1" t="s">
        <v>8</v>
      </c>
      <c r="C18" s="1" t="s">
        <v>9</v>
      </c>
      <c r="G18" s="1" t="s">
        <v>7</v>
      </c>
      <c r="H18" s="1" t="s">
        <v>8</v>
      </c>
      <c r="I18" s="1" t="s">
        <v>9</v>
      </c>
      <c r="M18" s="1" t="s">
        <v>7</v>
      </c>
      <c r="N18" s="1" t="s">
        <v>8</v>
      </c>
      <c r="O18" s="1" t="s">
        <v>9</v>
      </c>
      <c r="S18" s="1" t="s">
        <v>7</v>
      </c>
      <c r="T18" s="1" t="s">
        <v>8</v>
      </c>
      <c r="U18" s="1" t="s">
        <v>9</v>
      </c>
      <c r="Y18" s="1" t="s">
        <v>7</v>
      </c>
      <c r="Z18" s="1" t="s">
        <v>8</v>
      </c>
      <c r="AA18" s="1" t="s">
        <v>9</v>
      </c>
    </row>
    <row r="19" customFormat="false" ht="12.8" hidden="false" customHeight="false" outlineLevel="0" collapsed="false">
      <c r="A19" s="2" t="n">
        <v>134.71</v>
      </c>
      <c r="B19" s="2" t="n">
        <v>3.09</v>
      </c>
      <c r="C19" s="1" t="n">
        <f aca="false">B19/A19*100</f>
        <v>2.29381634622522</v>
      </c>
      <c r="D19" s="0" t="n">
        <f aca="false">A23*C19/100</f>
        <v>33.3472639926322</v>
      </c>
      <c r="G19" s="2" t="n">
        <v>143.57</v>
      </c>
      <c r="H19" s="2" t="n">
        <v>3.09</v>
      </c>
      <c r="I19" s="1" t="n">
        <f aca="false">H19/G19*100</f>
        <v>2.15226022149474</v>
      </c>
      <c r="J19" s="0" t="n">
        <f aca="false">G23*I19/100</f>
        <v>31.517112834649</v>
      </c>
      <c r="M19" s="2" t="n">
        <v>149.71</v>
      </c>
      <c r="N19" s="2" t="n">
        <v>3.78</v>
      </c>
      <c r="O19" s="1" t="n">
        <f aca="false">N19/M19*100</f>
        <v>2.52488143744573</v>
      </c>
      <c r="P19" s="0" t="n">
        <f aca="false">M23*O19/100</f>
        <v>38.8573029982964</v>
      </c>
      <c r="S19" s="2" t="n">
        <v>163.14</v>
      </c>
      <c r="T19" s="2" t="n">
        <v>3.78</v>
      </c>
      <c r="U19" s="1" t="n">
        <f aca="false">T19/S19*100</f>
        <v>2.31702831923501</v>
      </c>
      <c r="V19" s="0" t="n">
        <f aca="false">S23*U19/100</f>
        <v>34.6318613069918</v>
      </c>
      <c r="Y19" s="2" t="n">
        <v>180</v>
      </c>
      <c r="Z19" s="2" t="n">
        <v>14.14</v>
      </c>
      <c r="AA19" s="1" t="n">
        <f aca="false">Z19/Y19*100</f>
        <v>7.85555555555556</v>
      </c>
      <c r="AB19" s="0" t="n">
        <f aca="false">Y23*AA19/100</f>
        <v>113.957925925926</v>
      </c>
    </row>
    <row r="20" customFormat="false" ht="12.8" hidden="false" customHeight="false" outlineLevel="0" collapsed="false">
      <c r="A20" s="1" t="s">
        <v>10</v>
      </c>
      <c r="B20" s="1" t="s">
        <v>11</v>
      </c>
      <c r="C20" s="1" t="s">
        <v>12</v>
      </c>
      <c r="G20" s="1" t="s">
        <v>10</v>
      </c>
      <c r="H20" s="1" t="s">
        <v>11</v>
      </c>
      <c r="I20" s="1" t="s">
        <v>12</v>
      </c>
      <c r="M20" s="1" t="s">
        <v>10</v>
      </c>
      <c r="N20" s="1" t="s">
        <v>11</v>
      </c>
      <c r="O20" s="1" t="s">
        <v>12</v>
      </c>
      <c r="S20" s="1" t="s">
        <v>10</v>
      </c>
      <c r="T20" s="1" t="s">
        <v>11</v>
      </c>
      <c r="U20" s="1" t="s">
        <v>12</v>
      </c>
      <c r="Y20" s="1" t="s">
        <v>10</v>
      </c>
      <c r="Z20" s="1" t="s">
        <v>11</v>
      </c>
      <c r="AA20" s="1" t="s">
        <v>12</v>
      </c>
    </row>
    <row r="21" customFormat="false" ht="12.8" hidden="false" customHeight="false" outlineLevel="0" collapsed="false">
      <c r="A21" s="1" t="n">
        <f aca="false">$B$2*$A$2/A19/1000</f>
        <v>1.42528394328558</v>
      </c>
      <c r="B21" s="1" t="n">
        <f aca="false">A21*SQRT(($A$3/$A$2)^2 + (C19/100)^2)</f>
        <v>0.0552510698883315</v>
      </c>
      <c r="C21" s="1" t="n">
        <f aca="false">B21/A21*100</f>
        <v>3.87649563784226</v>
      </c>
      <c r="G21" s="1" t="n">
        <f aca="false">$B$2*$A$2/G19/1000</f>
        <v>1.33732673956955</v>
      </c>
      <c r="H21" s="1" t="n">
        <f aca="false">G21*SQRT(($A$3/$A$2)^2 + (I19/100)^2)</f>
        <v>0.050744191400751</v>
      </c>
      <c r="I21" s="1" t="n">
        <f aca="false">H21/G21*100</f>
        <v>3.79444977052386</v>
      </c>
      <c r="M21" s="1" t="n">
        <f aca="false">$B$2*$A$2/M19/1000</f>
        <v>1.28247946028989</v>
      </c>
      <c r="N21" s="1" t="n">
        <f aca="false">M21*SQRT(($A$3/$A$2)^2 + (O19/100)^2)</f>
        <v>0.0515241630112956</v>
      </c>
      <c r="O21" s="1" t="n">
        <f aca="false">N21/M21*100</f>
        <v>4.01754293980264</v>
      </c>
      <c r="S21" s="1" t="n">
        <f aca="false">$B$2*$A$2/S19/1000</f>
        <v>1.17690327326223</v>
      </c>
      <c r="T21" s="1" t="n">
        <f aca="false">S21*SQRT(($A$3/$A$2)^2 + (U19/100)^2)</f>
        <v>0.0457847823700671</v>
      </c>
      <c r="U21" s="1" t="n">
        <f aca="false">T21/S21*100</f>
        <v>3.89027572700664</v>
      </c>
      <c r="Y21" s="1" t="n">
        <f aca="false">$B$2*$A$2/Y19/1000</f>
        <v>1.06666666666667</v>
      </c>
      <c r="Z21" s="1" t="n">
        <f aca="false">Y21*SQRT(($A$3/$A$2)^2 + (AA19/100)^2)</f>
        <v>0.0901793196054357</v>
      </c>
      <c r="AA21" s="1" t="n">
        <f aca="false">Z21/Y21*100</f>
        <v>8.4543112130096</v>
      </c>
    </row>
    <row r="22" customFormat="false" ht="12.8" hidden="false" customHeight="false" outlineLevel="0" collapsed="false">
      <c r="A22" s="1" t="s">
        <v>13</v>
      </c>
      <c r="B22" s="1" t="s">
        <v>14</v>
      </c>
      <c r="C22" s="1" t="s">
        <v>15</v>
      </c>
      <c r="G22" s="1" t="s">
        <v>13</v>
      </c>
      <c r="H22" s="1" t="s">
        <v>14</v>
      </c>
      <c r="I22" s="1" t="s">
        <v>15</v>
      </c>
      <c r="M22" s="1" t="s">
        <v>13</v>
      </c>
      <c r="N22" s="1" t="s">
        <v>14</v>
      </c>
      <c r="O22" s="1" t="s">
        <v>15</v>
      </c>
      <c r="S22" s="1" t="s">
        <v>13</v>
      </c>
      <c r="T22" s="1" t="s">
        <v>14</v>
      </c>
      <c r="U22" s="1" t="s">
        <v>15</v>
      </c>
      <c r="Y22" s="1" t="s">
        <v>13</v>
      </c>
      <c r="Z22" s="1" t="s">
        <v>14</v>
      </c>
      <c r="AA22" s="1" t="s">
        <v>15</v>
      </c>
    </row>
    <row r="23" customFormat="false" ht="12.8" hidden="false" customHeight="false" outlineLevel="0" collapsed="false">
      <c r="A23" s="1" t="n">
        <f aca="false">A6*A21/1000</f>
        <v>1453.78962215129</v>
      </c>
      <c r="B23" s="1" t="n">
        <f aca="false">A23*SQRT(($C$6/100)^2 + (C21/100)^2)</f>
        <v>71.2612297394195</v>
      </c>
      <c r="C23" s="1" t="n">
        <f aca="false">B23/A23*100</f>
        <v>4.9017566677886</v>
      </c>
      <c r="G23" s="1" t="n">
        <f aca="false">G6*G21/1000</f>
        <v>1464.37277982866</v>
      </c>
      <c r="H23" s="1" t="n">
        <f aca="false">G23*SQRT(($C$6/100)^2 + (I21/100)^2)</f>
        <v>70.8336489878586</v>
      </c>
      <c r="I23" s="1" t="n">
        <f aca="false">H23/G23*100</f>
        <v>4.83713231791612</v>
      </c>
      <c r="M23" s="1" t="n">
        <f aca="false">M6*M21/1000</f>
        <v>1538.97535234787</v>
      </c>
      <c r="N23" s="1" t="n">
        <f aca="false">M23*SQRT(($C$6/100)^2 + (O21/100)^2)</f>
        <v>77.164922861374</v>
      </c>
      <c r="O23" s="1" t="n">
        <f aca="false">N23/M23*100</f>
        <v>5.01404539998971</v>
      </c>
      <c r="S23" s="1" t="n">
        <f aca="false">S6*S21/1000</f>
        <v>1494.66715704303</v>
      </c>
      <c r="T23" s="1" t="n">
        <f aca="false">S23*SQRT(($C$6/100)^2 + (U21/100)^2)</f>
        <v>73.4279413521511</v>
      </c>
      <c r="U23" s="1" t="n">
        <f aca="false">T23/S23*100</f>
        <v>4.91266172579967</v>
      </c>
      <c r="Y23" s="1" t="n">
        <f aca="false">Y6*Y21/1000</f>
        <v>1450.66666666667</v>
      </c>
      <c r="Z23" s="1" t="n">
        <f aca="false">Y23*SQRT(($C$6/100)^2 + (AA21/100)^2)</f>
        <v>130.136506762899</v>
      </c>
      <c r="AA23" s="1" t="n">
        <f aca="false">Z23/Y23*100</f>
        <v>8.97080699192775</v>
      </c>
    </row>
    <row r="25" customFormat="false" ht="12.8" hidden="false" customHeight="false" outlineLevel="0" collapsed="false">
      <c r="A25" s="0" t="s">
        <v>16</v>
      </c>
      <c r="B25" s="0" t="s">
        <v>17</v>
      </c>
    </row>
    <row r="26" customFormat="false" ht="12.8" hidden="false" customHeight="false" outlineLevel="0" collapsed="false">
      <c r="A26" s="0" t="n">
        <f aca="false">SUM(A23,G23,M23,S23,Y23)/5</f>
        <v>1480.4943156075</v>
      </c>
      <c r="B26" s="0" t="n">
        <f aca="false">A29*SQRT((A3/A2)^2+(C6/100)^2)</f>
        <v>64.2337034846396</v>
      </c>
    </row>
    <row r="28" customFormat="false" ht="12.8" hidden="false" customHeight="false" outlineLevel="0" collapsed="false">
      <c r="A28" s="1" t="s">
        <v>18</v>
      </c>
      <c r="B28" s="0" t="s">
        <v>19</v>
      </c>
      <c r="C28" s="0" t="s">
        <v>20</v>
      </c>
      <c r="D28" s="0" t="s">
        <v>21</v>
      </c>
    </row>
    <row r="29" customFormat="false" ht="12.8" hidden="false" customHeight="false" outlineLevel="0" collapsed="false">
      <c r="A29" s="0" t="n">
        <f aca="false">(A23/D19^2 + G23/J19^2 + M23/P19^2 + S23/V19^2+Y23/AB19^2)/(AB19^-2+V19^-2+P19^-2+J19^-2+D19^-2)</f>
        <v>1482.79613685378</v>
      </c>
      <c r="B29" s="0" t="n">
        <f aca="false">1/SQRT((AB19^-2+V19^-2+P19^-2+J19^-2+D19^-2))</f>
        <v>16.9539211556206</v>
      </c>
      <c r="C29" s="0" t="n">
        <f aca="false">SQRT(B26^2+B29^2)</f>
        <v>66.433456224282</v>
      </c>
      <c r="D29" s="0" t="n">
        <f aca="false">C29/A29*100</f>
        <v>4.48028252658127</v>
      </c>
    </row>
    <row r="33" customFormat="false" ht="12.8" hidden="false" customHeight="false" outlineLevel="0" collapsed="false">
      <c r="C33" s="1" t="s">
        <v>22</v>
      </c>
      <c r="D33" s="1" t="s">
        <v>5</v>
      </c>
      <c r="E33" s="1" t="s">
        <v>23</v>
      </c>
      <c r="F33" s="1" t="s">
        <v>24</v>
      </c>
      <c r="G33" s="1" t="s">
        <v>25</v>
      </c>
      <c r="H33" s="0" t="s">
        <v>26</v>
      </c>
      <c r="I33" s="0" t="s">
        <v>27</v>
      </c>
      <c r="J33" s="1" t="s">
        <v>28</v>
      </c>
      <c r="K33" s="0" t="s">
        <v>29</v>
      </c>
      <c r="L33" s="0" t="s">
        <v>27</v>
      </c>
    </row>
    <row r="34" customFormat="false" ht="12.8" hidden="false" customHeight="false" outlineLevel="0" collapsed="false">
      <c r="C34" s="1" t="n">
        <f aca="false">1.148 * 10^6</f>
        <v>1148000</v>
      </c>
      <c r="D34" s="1" t="n">
        <v>85</v>
      </c>
      <c r="E34" s="1" t="n">
        <v>8</v>
      </c>
      <c r="F34" s="1" t="n">
        <f aca="false">D34/$A$36/E34</f>
        <v>0.625</v>
      </c>
      <c r="G34" s="1" t="n">
        <f aca="false">2*F34</f>
        <v>1.25</v>
      </c>
      <c r="H34" s="1" t="n">
        <f aca="false">G34*SQRT((2/D34)^2 + (1/$A$36)^2)</f>
        <v>0.0791936001049192</v>
      </c>
      <c r="I34" s="1" t="n">
        <f aca="false">H34/G34*100</f>
        <v>6.33548800839353</v>
      </c>
      <c r="J34" s="1" t="n">
        <f aca="false">2*F34*C34/1000</f>
        <v>1435</v>
      </c>
      <c r="K34" s="1" t="n">
        <f aca="false">J34*SQRT((I34/100)^2+(1000/C34)^2)</f>
        <v>90.9228457764222</v>
      </c>
      <c r="L34" s="1" t="n">
        <f aca="false">K34/J34*100</f>
        <v>6.33608681368796</v>
      </c>
    </row>
    <row r="35" customFormat="false" ht="12.8" hidden="false" customHeight="false" outlineLevel="0" collapsed="false">
      <c r="A35" s="1" t="s">
        <v>30</v>
      </c>
      <c r="C35" s="1" t="n">
        <f aca="false">1.05 * 10^6</f>
        <v>1050000</v>
      </c>
      <c r="D35" s="1" t="n">
        <v>94</v>
      </c>
      <c r="E35" s="1" t="n">
        <v>8</v>
      </c>
      <c r="F35" s="1" t="n">
        <f aca="false">D35/$A$36/E35</f>
        <v>0.691176470588235</v>
      </c>
      <c r="G35" s="1" t="n">
        <f aca="false">2*F35</f>
        <v>1.38235294117647</v>
      </c>
      <c r="H35" s="1" t="n">
        <f aca="false">G35*SQRT((2/D35)^2 + (1/$A$36)^2)</f>
        <v>0.0864705813121093</v>
      </c>
      <c r="I35" s="1" t="n">
        <f aca="false">H35/G35*100</f>
        <v>6.25531864811004</v>
      </c>
      <c r="J35" s="1" t="n">
        <f aca="false">2*F35*C35/1000</f>
        <v>1451.47058823529</v>
      </c>
      <c r="K35" s="1" t="n">
        <f aca="false">J35*SQRT((I35/100)^2+(1000/C35)^2)</f>
        <v>90.8046330257143</v>
      </c>
      <c r="L35" s="1" t="n">
        <f aca="false">K35/J35*100</f>
        <v>6.25604361271385</v>
      </c>
    </row>
    <row r="36" customFormat="false" ht="12.8" hidden="false" customHeight="false" outlineLevel="0" collapsed="false">
      <c r="A36" s="1" t="n">
        <v>17</v>
      </c>
      <c r="C36" s="1" t="n">
        <f aca="false">1.087 * 10^6</f>
        <v>1087000</v>
      </c>
      <c r="D36" s="1" t="n">
        <v>67</v>
      </c>
      <c r="E36" s="1" t="n">
        <v>6</v>
      </c>
      <c r="F36" s="1" t="n">
        <f aca="false">D36/$A$36/E36</f>
        <v>0.656862745098039</v>
      </c>
      <c r="G36" s="1" t="n">
        <f aca="false">2*F36</f>
        <v>1.31372549019608</v>
      </c>
      <c r="H36" s="1" t="n">
        <f aca="false">G36*SQRT((2/D36)^2 + (1/$A$36)^2)</f>
        <v>0.0866588408593395</v>
      </c>
      <c r="I36" s="1" t="n">
        <f aca="false">H36/G36*100</f>
        <v>6.59641922959151</v>
      </c>
      <c r="J36" s="1" t="n">
        <f aca="false">2*F36*C36/1000</f>
        <v>1428.01960784314</v>
      </c>
      <c r="K36" s="1" t="n">
        <f aca="false">J36*SQRT((I36/100)^2+(1000/C36)^2)</f>
        <v>94.2073204411736</v>
      </c>
      <c r="L36" s="1" t="n">
        <f aca="false">K36/J36*100</f>
        <v>6.597060707273</v>
      </c>
    </row>
    <row r="39" customFormat="false" ht="12.8" hidden="false" customHeight="false" outlineLevel="0" collapsed="false">
      <c r="E39" s="0" t="s">
        <v>31</v>
      </c>
    </row>
    <row r="40" customFormat="false" ht="12.8" hidden="false" customHeight="false" outlineLevel="0" collapsed="false">
      <c r="E40" s="0" t="n">
        <f aca="false">(J34/I34^2+J35/I35^2+J36/I36^2)/(I34^-2+I35^-2+I36^-2)</f>
        <v>1438.54664802009</v>
      </c>
      <c r="F40" s="0" t="n">
        <f aca="false">G40*E40/100</f>
        <v>53.0789092233773</v>
      </c>
      <c r="G40" s="0" t="n">
        <f aca="false">1/SQRT((I34^-2+I35^-2+I36^-2))</f>
        <v>3.68975933428583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2026-02-28T19:00:52Z</dcterms:created>
  <dc:creator/>
  <dc:description/>
  <dc:language>ru-RU</dc:language>
  <cp:lastModifiedBy/>
  <dcterms:modified xsi:type="dcterms:W3CDTF">2026-03-01T16:28:09Z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