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<sst xmlns="http://schemas.openxmlformats.org/spreadsheetml/2006/main" count="76" uniqueCount="37">
  <si>
    <t xml:space="preserve">f, мм</t>
  </si>
  <si>
    <t xml:space="preserve">L, мм</t>
  </si>
  <si>
    <t xml:space="preserve">\Delta d_{Na}, мм</t>
  </si>
  <si>
    <t xml:space="preserve">\Delta d_{Hg}, мм</t>
  </si>
  <si>
    <t xml:space="preserve">\lambda_Na</t>
  </si>
  <si>
    <t xml:space="preserve">\lambda_Hg^{green}</t>
  </si>
  <si>
    <t xml:space="preserve">\lambda_Hg^{yellow}</t>
  </si>
  <si>
    <t xml:space="preserve">r</t>
  </si>
  <si>
    <t xml:space="preserve">Na</t>
  </si>
  <si>
    <t xml:space="preserve">Hg</t>
  </si>
  <si>
    <t xml:space="preserve">Зеленые</t>
  </si>
  <si>
    <t xml:space="preserve">кольцо</t>
  </si>
  <si>
    <t xml:space="preserve">h_{\text{внеш}}^{\text{верх}}, мм</t>
  </si>
  <si>
    <t xml:space="preserve">h_{\text{внутр}}^{\text{верх}}, мм</t>
  </si>
  <si>
    <t xml:space="preserve">h_{\text{внутр}}^{\text{ниж}}, мм</t>
  </si>
  <si>
    <t xml:space="preserve">h_{\text{внеш}}^{\text{ниж}}, мм</t>
  </si>
  <si>
    <t xml:space="preserve">d_{\text{внеш}}, мм</t>
  </si>
  <si>
    <t xml:space="preserve">d_{\text{внутр}}, мм</t>
  </si>
  <si>
    <t xml:space="preserve">d_{\text{кольца}}, мм</t>
  </si>
  <si>
    <t xml:space="preserve">\varepsilon_{d_{\text{кольца}}}, %</t>
  </si>
  <si>
    <t xml:space="preserve">\delta d, мм</t>
  </si>
  <si>
    <t xml:space="preserve">\varepsilon_{\delta d}, %</t>
  </si>
  <si>
    <t xml:space="preserve">D_\text{эксп}</t>
  </si>
  <si>
    <t xml:space="preserve">D_\text{теор}</t>
  </si>
  <si>
    <t xml:space="preserve">h^{\text{верх}}, мм</t>
  </si>
  <si>
    <t xml:space="preserve">R_апп</t>
  </si>
  <si>
    <t xml:space="preserve">m</t>
  </si>
  <si>
    <t xml:space="preserve">N</t>
  </si>
  <si>
    <t xml:space="preserve">Желтые</t>
  </si>
  <si>
    <t xml:space="preserve">k, мм^2</t>
  </si>
  <si>
    <t xml:space="preserve">\sigma_k, мм^2</t>
  </si>
  <si>
    <t xml:space="preserve">\varepsilon_k, %</t>
  </si>
  <si>
    <t xml:space="preserve">нечетные</t>
  </si>
  <si>
    <t xml:space="preserve">четные</t>
  </si>
  <si>
    <t xml:space="preserve">средние</t>
  </si>
  <si>
    <t xml:space="preserve">\Delta \lambda</t>
  </si>
  <si>
    <t xml:space="preserve">N_теор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</si>
</sst>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7"/>
  <sheetViews>
    <sheetView showFormulas="false" showGridLines="true" showRowColHeaders="true" showZeros="true" rightToLeft="false" tabSelected="true" showOutlineSymbols="true" defaultGridColor="true" view="normal" topLeftCell="S10" colorId="64" zoomScale="110" zoomScaleNormal="110" zoomScalePageLayoutView="100" workbookViewId="0">
      <selection pane="topLeft" activeCell="AA36" activeCellId="0" sqref="AA3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J1" s="1" t="s">
        <v>7</v>
      </c>
      <c r="T1" s="1" t="s">
        <v>0</v>
      </c>
    </row>
    <row r="2" customFormat="false" ht="12.8" hidden="false" customHeight="false" outlineLevel="0" collapsed="false">
      <c r="A2" s="1" t="n">
        <v>94</v>
      </c>
      <c r="B2" s="1" t="n">
        <v>0.1</v>
      </c>
      <c r="C2" s="1" t="n">
        <v>0.52</v>
      </c>
      <c r="D2" s="1" t="n">
        <f aca="false">SQRT(0.25^2 + 0.02^2)</f>
        <v>0.250798724079689</v>
      </c>
      <c r="F2" s="1" t="n">
        <v>5893</v>
      </c>
      <c r="G2" s="1" t="n">
        <v>5461</v>
      </c>
      <c r="H2" s="1" t="n">
        <v>5780</v>
      </c>
      <c r="J2" s="1" t="n">
        <v>0.85</v>
      </c>
      <c r="T2" s="1" t="n">
        <v>110</v>
      </c>
    </row>
    <row r="4" customFormat="false" ht="12.8" hidden="false" customHeight="false" outlineLevel="0" collapsed="false">
      <c r="A4" s="1" t="s">
        <v>8</v>
      </c>
      <c r="T4" s="1" t="s">
        <v>9</v>
      </c>
    </row>
    <row r="5" customFormat="false" ht="12.8" hidden="false" customHeight="false" outlineLevel="0" collapsed="false">
      <c r="T5" s="1" t="s">
        <v>10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O6" s="1" t="s">
        <v>23</v>
      </c>
      <c r="T6" s="1" t="s">
        <v>11</v>
      </c>
      <c r="U6" s="1" t="s">
        <v>12</v>
      </c>
      <c r="V6" s="1" t="s">
        <v>24</v>
      </c>
      <c r="W6" s="1" t="s">
        <v>18</v>
      </c>
      <c r="X6" s="1" t="s">
        <v>19</v>
      </c>
    </row>
    <row r="7" customFormat="false" ht="12.8" hidden="false" customHeight="false" outlineLevel="0" collapsed="false">
      <c r="A7" s="1" t="n">
        <v>1</v>
      </c>
      <c r="B7" s="1" t="n">
        <v>164.71</v>
      </c>
      <c r="C7" s="1" t="n">
        <v>164.25</v>
      </c>
      <c r="D7" s="1" t="n">
        <v>155.01</v>
      </c>
      <c r="E7" s="1" t="n">
        <v>154.52</v>
      </c>
      <c r="F7" s="1" t="n">
        <f aca="false">B7-E7</f>
        <v>10.19</v>
      </c>
      <c r="G7" s="1" t="n">
        <f aca="false">C7-D7</f>
        <v>9.24000000000001</v>
      </c>
      <c r="H7" s="1" t="n">
        <f aca="false">(F7+G7)/2</f>
        <v>9.715</v>
      </c>
      <c r="I7" s="1" t="n">
        <f aca="false">$C$2/H7*100</f>
        <v>5.35254760679362</v>
      </c>
      <c r="J7" s="1" t="n">
        <f aca="false">F7-G7</f>
        <v>0.949999999999989</v>
      </c>
      <c r="K7" s="1" t="n">
        <f aca="false">$C$2/J7*100</f>
        <v>54.7368421052638</v>
      </c>
      <c r="L7" s="1" t="n">
        <f aca="false">(H8-H7)/2/$F$26</f>
        <v>0.359792463233466</v>
      </c>
      <c r="M7" s="1" t="n">
        <f aca="false">L7*SQRT(2*($C$2/(H8-H7))^2+($H$26/100)^2)</f>
        <v>0.0869793983652843</v>
      </c>
      <c r="N7" s="1" t="n">
        <f aca="false">M7/L7*100</f>
        <v>24.1748805918828</v>
      </c>
      <c r="O7" s="1" t="n">
        <f aca="false">2*$A$2^2/$F$2/(H8+H7)*2</f>
        <v>0.266206138482777</v>
      </c>
      <c r="P7" s="1" t="n">
        <f aca="false">O7*SQRT(2*($C$2/(H7+H8))^2)</f>
        <v>0.00868910840404985</v>
      </c>
      <c r="Q7" s="1" t="n">
        <f aca="false">P7/O7*100</f>
        <v>3.26405260734136</v>
      </c>
      <c r="T7" s="1" t="n">
        <v>1</v>
      </c>
      <c r="U7" s="1" t="n">
        <v>171.06</v>
      </c>
      <c r="V7" s="1" t="n">
        <v>183.73</v>
      </c>
      <c r="W7" s="1" t="n">
        <f aca="false">V7-U7</f>
        <v>12.67</v>
      </c>
      <c r="X7" s="1" t="n">
        <f aca="false">$D$2/W7*100</f>
        <v>1.97946901404648</v>
      </c>
      <c r="AA7" s="1" t="s">
        <v>20</v>
      </c>
      <c r="AE7" s="1" t="s">
        <v>25</v>
      </c>
    </row>
    <row r="8" customFormat="false" ht="12.8" hidden="false" customHeight="false" outlineLevel="0" collapsed="false">
      <c r="A8" s="1" t="n">
        <v>2</v>
      </c>
      <c r="B8" s="1" t="n">
        <v>166.22</v>
      </c>
      <c r="C8" s="1" t="n">
        <v>165.81</v>
      </c>
      <c r="D8" s="1" t="n">
        <v>153.4</v>
      </c>
      <c r="E8" s="1" t="n">
        <v>153</v>
      </c>
      <c r="F8" s="1" t="n">
        <f aca="false">B8-E8</f>
        <v>13.22</v>
      </c>
      <c r="G8" s="1" t="n">
        <f aca="false">C8-D8</f>
        <v>12.41</v>
      </c>
      <c r="H8" s="1" t="n">
        <f aca="false">(F8+G8)/2</f>
        <v>12.815</v>
      </c>
      <c r="I8" s="1" t="n">
        <f aca="false">$C$2/H8*100</f>
        <v>4.05774483027702</v>
      </c>
      <c r="J8" s="1" t="n">
        <f aca="false">F8-G8</f>
        <v>0.809999999999999</v>
      </c>
      <c r="K8" s="1" t="n">
        <f aca="false">$C$2/J8*100</f>
        <v>64.1975308641976</v>
      </c>
      <c r="T8" s="1" t="n">
        <v>2</v>
      </c>
      <c r="U8" s="1" t="n">
        <v>167.14</v>
      </c>
      <c r="V8" s="1" t="n">
        <v>187.52</v>
      </c>
      <c r="W8" s="1" t="n">
        <f aca="false">V8-U8</f>
        <v>20.38</v>
      </c>
      <c r="X8" s="1" t="n">
        <f aca="false">$D$2/W8*100</f>
        <v>1.23061199254018</v>
      </c>
      <c r="AA8" s="1" t="n">
        <v>0.59</v>
      </c>
      <c r="AB8" s="1" t="n">
        <f aca="false">D2</f>
        <v>0.250798724079689</v>
      </c>
      <c r="AC8" s="1" t="n">
        <f aca="false">AB8/AA8*100</f>
        <v>42.5082583185914</v>
      </c>
      <c r="AE8" s="1" t="n">
        <f aca="false">4*T2^2/AA8/W7</f>
        <v>6474.65653552366</v>
      </c>
      <c r="AF8" s="1" t="n">
        <f aca="false">AE8*SQRT(AC8^2+X7^2)/100</f>
        <v>2755.24619202554</v>
      </c>
      <c r="AG8" s="1" t="n">
        <f aca="false">AF8/AE8*100</f>
        <v>42.5543220232406</v>
      </c>
    </row>
    <row r="9" customFormat="false" ht="12.8" hidden="false" customHeight="false" outlineLevel="0" collapsed="false">
      <c r="A9" s="1" t="n">
        <v>3</v>
      </c>
      <c r="B9" s="1" t="n">
        <v>168.42</v>
      </c>
      <c r="C9" s="1" t="n">
        <v>168.01</v>
      </c>
      <c r="D9" s="1" t="n">
        <v>151.01</v>
      </c>
      <c r="E9" s="1" t="n">
        <v>150.3</v>
      </c>
      <c r="F9" s="1" t="n">
        <f aca="false">B9-E9</f>
        <v>18.12</v>
      </c>
      <c r="G9" s="1" t="n">
        <f aca="false">C9-D9</f>
        <v>17</v>
      </c>
      <c r="H9" s="1" t="n">
        <f aca="false">(F9+G9)/2</f>
        <v>17.56</v>
      </c>
      <c r="I9" s="1" t="n">
        <f aca="false">$C$2/H9*100</f>
        <v>2.96127562642369</v>
      </c>
      <c r="J9" s="1" t="n">
        <f aca="false">F9-G9</f>
        <v>1.11999999999998</v>
      </c>
      <c r="K9" s="1" t="n">
        <f aca="false">$C$2/J9*100</f>
        <v>46.4285714285724</v>
      </c>
      <c r="L9" s="1" t="n">
        <f aca="false">(H10-H9)/2/$F$26</f>
        <v>0.165968781427051</v>
      </c>
      <c r="M9" s="1" t="n">
        <f aca="false">L9*SQRT(2*($C$2/(H10-H9))^2+($H$26/100)^2)</f>
        <v>0.0857001111213614</v>
      </c>
      <c r="N9" s="1" t="n">
        <f aca="false">M9/L9*100</f>
        <v>51.6362838748863</v>
      </c>
      <c r="O9" s="1" t="n">
        <f aca="false">2*$A$2^2/$F$2/(H10+H9)*2</f>
        <v>0.16409368809896</v>
      </c>
      <c r="P9" s="1" t="n">
        <f aca="false">O9*SQRT(2*($C$2/(H9+H10))^2)</f>
        <v>0.00330158768779403</v>
      </c>
      <c r="Q9" s="1" t="n">
        <f aca="false">P9/O9*100</f>
        <v>2.01201382334886</v>
      </c>
      <c r="T9" s="1" t="n">
        <v>3</v>
      </c>
      <c r="U9" s="1" t="n">
        <v>164.42</v>
      </c>
      <c r="V9" s="1" t="n">
        <v>190.21</v>
      </c>
      <c r="W9" s="1" t="n">
        <f aca="false">V9-U9</f>
        <v>25.79</v>
      </c>
      <c r="X9" s="1" t="n">
        <f aca="false">$D$2/W9*100</f>
        <v>0.972465002247727</v>
      </c>
    </row>
    <row r="10" customFormat="false" ht="12.8" hidden="false" customHeight="false" outlineLevel="0" collapsed="false">
      <c r="A10" s="1" t="n">
        <v>4</v>
      </c>
      <c r="B10" s="1" t="n">
        <v>169.66</v>
      </c>
      <c r="C10" s="1" t="n">
        <v>169.01</v>
      </c>
      <c r="D10" s="1" t="n">
        <v>151.01</v>
      </c>
      <c r="E10" s="1" t="n">
        <v>149.68</v>
      </c>
      <c r="F10" s="1" t="n">
        <f aca="false">B10-E10</f>
        <v>19.98</v>
      </c>
      <c r="G10" s="1" t="n">
        <f aca="false">C10-D10</f>
        <v>18</v>
      </c>
      <c r="H10" s="1" t="n">
        <f aca="false">(F10+G10)/2</f>
        <v>18.99</v>
      </c>
      <c r="I10" s="1" t="n">
        <f aca="false">$C$2/H10*100</f>
        <v>2.73828330700369</v>
      </c>
      <c r="J10" s="1" t="n">
        <f aca="false">F10-G10</f>
        <v>1.97999999999999</v>
      </c>
      <c r="K10" s="1" t="n">
        <f aca="false">$C$2/J10*100</f>
        <v>26.2626262626264</v>
      </c>
      <c r="T10" s="1" t="n">
        <v>4</v>
      </c>
      <c r="U10" s="1" t="n">
        <v>162.21</v>
      </c>
      <c r="V10" s="1" t="n">
        <v>192.44</v>
      </c>
      <c r="W10" s="1" t="n">
        <f aca="false">V10-U10</f>
        <v>30.23</v>
      </c>
      <c r="X10" s="1" t="n">
        <f aca="false">$D$2/W10*100</f>
        <v>0.829635210319845</v>
      </c>
      <c r="AE10" s="1" t="s">
        <v>26</v>
      </c>
    </row>
    <row r="11" customFormat="false" ht="12.8" hidden="false" customHeight="false" outlineLevel="0" collapsed="false">
      <c r="A11" s="1" t="n">
        <v>5</v>
      </c>
      <c r="B11" s="1" t="n">
        <v>171.1</v>
      </c>
      <c r="C11" s="1" t="n">
        <v>170.55</v>
      </c>
      <c r="D11" s="1" t="n">
        <v>148.03</v>
      </c>
      <c r="E11" s="1" t="n">
        <v>147.65</v>
      </c>
      <c r="F11" s="1" t="n">
        <f aca="false">B11-E11</f>
        <v>23.45</v>
      </c>
      <c r="G11" s="1" t="n">
        <f aca="false">C11-D11</f>
        <v>22.52</v>
      </c>
      <c r="H11" s="1" t="n">
        <f aca="false">(F11+G11)/2</f>
        <v>22.985</v>
      </c>
      <c r="I11" s="1" t="n">
        <f aca="false">$C$2/H11*100</f>
        <v>2.26234500761366</v>
      </c>
      <c r="J11" s="1" t="n">
        <f aca="false">F11-G11</f>
        <v>0.929999999999978</v>
      </c>
      <c r="K11" s="1" t="n">
        <f aca="false">$C$2/J11*100</f>
        <v>55.913978494625</v>
      </c>
      <c r="L11" s="1" t="n">
        <f aca="false">(H12-H11)/2/$F$26</f>
        <v>0.167129402276191</v>
      </c>
      <c r="M11" s="1" t="n">
        <f aca="false">L11*SQRT(2*($C$2/(H12-H11))^2+($H$26/100)^2)</f>
        <v>0.0857050004849068</v>
      </c>
      <c r="N11" s="1" t="n">
        <f aca="false">M11/L11*100</f>
        <v>51.2806240659404</v>
      </c>
      <c r="O11" s="1" t="n">
        <f aca="false">2*$A$2^2/$F$2/(H12+H11)*2</f>
        <v>0.12650546931063</v>
      </c>
      <c r="P11" s="1" t="n">
        <f aca="false">O11*SQRT(2*($C$2/(H11+H12))^2)</f>
        <v>0.00196226513847295</v>
      </c>
      <c r="Q11" s="1" t="n">
        <f aca="false">P11/O11*100</f>
        <v>1.55113067376927</v>
      </c>
      <c r="T11" s="1" t="n">
        <v>5</v>
      </c>
      <c r="U11" s="1" t="n">
        <v>160.26</v>
      </c>
      <c r="V11" s="1" t="n">
        <v>194.41</v>
      </c>
      <c r="W11" s="1" t="n">
        <f aca="false">V11-U11</f>
        <v>34.15</v>
      </c>
      <c r="X11" s="1" t="n">
        <f aca="false">$D$2/W11*100</f>
        <v>0.73440329159499</v>
      </c>
      <c r="AE11" s="1" t="n">
        <f aca="false">2*B2/G2*10^7</f>
        <v>366.233290606116</v>
      </c>
    </row>
    <row r="12" customFormat="false" ht="12.8" hidden="false" customHeight="false" outlineLevel="0" collapsed="false">
      <c r="A12" s="1" t="n">
        <v>6</v>
      </c>
      <c r="B12" s="1" t="n">
        <v>171.76</v>
      </c>
      <c r="C12" s="1" t="n">
        <v>171.3</v>
      </c>
      <c r="D12" s="1" t="n">
        <v>147.31</v>
      </c>
      <c r="E12" s="1" t="n">
        <v>146.9</v>
      </c>
      <c r="F12" s="1" t="n">
        <f aca="false">B12-E12</f>
        <v>24.86</v>
      </c>
      <c r="G12" s="1" t="n">
        <f aca="false">C12-D12</f>
        <v>23.99</v>
      </c>
      <c r="H12" s="1" t="n">
        <f aca="false">(F12+G12)/2</f>
        <v>24.425</v>
      </c>
      <c r="I12" s="1" t="n">
        <f aca="false">$C$2/H12*100</f>
        <v>2.12896622313204</v>
      </c>
      <c r="J12" s="1" t="n">
        <f aca="false">F12-G12</f>
        <v>0.869999999999976</v>
      </c>
      <c r="K12" s="1" t="n">
        <f aca="false">$C$2/J12*100</f>
        <v>59.7701149425304</v>
      </c>
      <c r="T12" s="1" t="n">
        <v>6</v>
      </c>
      <c r="U12" s="1" t="n">
        <v>158.46</v>
      </c>
      <c r="V12" s="1" t="n">
        <v>196.11</v>
      </c>
      <c r="W12" s="1" t="n">
        <f aca="false">V12-U12</f>
        <v>37.65</v>
      </c>
      <c r="X12" s="1" t="n">
        <f aca="false">$D$2/W12*100</f>
        <v>0.666132069268762</v>
      </c>
    </row>
    <row r="13" customFormat="false" ht="12.8" hidden="false" customHeight="false" outlineLevel="0" collapsed="false">
      <c r="T13" s="1" t="n">
        <v>7</v>
      </c>
      <c r="U13" s="1" t="n">
        <v>156.84</v>
      </c>
      <c r="V13" s="1" t="n">
        <v>197.75</v>
      </c>
      <c r="W13" s="1" t="n">
        <f aca="false">V13-U13</f>
        <v>40.91</v>
      </c>
      <c r="X13" s="1" t="n">
        <f aca="false">$D$2/W13*100</f>
        <v>0.613049924418697</v>
      </c>
      <c r="AE13" s="1" t="s">
        <v>27</v>
      </c>
    </row>
    <row r="14" customFormat="false" ht="12.8" hidden="false" customHeight="false" outlineLevel="0" collapsed="false">
      <c r="AE14" s="1" t="n">
        <f aca="false">AE8/AE11</f>
        <v>17.6790496702474</v>
      </c>
      <c r="AF14" s="1" t="n">
        <f aca="false">AE14*AG8/100</f>
        <v>7.52319972732573</v>
      </c>
      <c r="AG14" s="1" t="n">
        <f aca="false">AF14/AE14*100</f>
        <v>42.5543220232406</v>
      </c>
    </row>
    <row r="15" customFormat="false" ht="12.8" hidden="false" customHeight="false" outlineLevel="0" collapsed="false">
      <c r="T15" s="1" t="s">
        <v>28</v>
      </c>
    </row>
    <row r="16" customFormat="false" ht="12.8" hidden="false" customHeight="false" outlineLevel="0" collapsed="false">
      <c r="B16" s="1" t="s">
        <v>29</v>
      </c>
      <c r="C16" s="1" t="s">
        <v>30</v>
      </c>
      <c r="D16" s="1" t="s">
        <v>31</v>
      </c>
      <c r="F16" s="1" t="s">
        <v>1</v>
      </c>
      <c r="T16" s="1" t="s">
        <v>11</v>
      </c>
      <c r="U16" s="1" t="s">
        <v>12</v>
      </c>
      <c r="V16" s="1" t="s">
        <v>13</v>
      </c>
      <c r="W16" s="1" t="s">
        <v>14</v>
      </c>
      <c r="X16" s="1" t="s">
        <v>15</v>
      </c>
      <c r="Y16" s="1" t="s">
        <v>16</v>
      </c>
      <c r="Z16" s="1" t="s">
        <v>17</v>
      </c>
      <c r="AA16" s="1" t="s">
        <v>18</v>
      </c>
      <c r="AB16" s="1" t="s">
        <v>19</v>
      </c>
      <c r="AC16" s="1" t="s">
        <v>20</v>
      </c>
      <c r="AD16" s="1" t="s">
        <v>21</v>
      </c>
      <c r="AE16" s="1" t="s">
        <v>22</v>
      </c>
      <c r="AH16" s="1" t="s">
        <v>23</v>
      </c>
    </row>
    <row r="17" customFormat="false" ht="12.8" hidden="false" customHeight="false" outlineLevel="0" collapsed="false">
      <c r="A17" s="1" t="s">
        <v>32</v>
      </c>
      <c r="B17" s="2" t="n">
        <v>216.265</v>
      </c>
      <c r="C17" s="2" t="n">
        <v>1.586</v>
      </c>
      <c r="D17" s="1" t="n">
        <f aca="false">C17/B17*100</f>
        <v>0.733359535754745</v>
      </c>
      <c r="F17" s="1" t="n">
        <f aca="false">4*$A$2^2*$F$2/B17*10^-7</f>
        <v>0.0963087841305805</v>
      </c>
      <c r="G17" s="1" t="n">
        <f aca="false">D17/100*F17</f>
        <v>0.000706289652191065</v>
      </c>
      <c r="H17" s="1" t="n">
        <f aca="false">G17/F17*100</f>
        <v>0.733359535754745</v>
      </c>
      <c r="K17" s="1" t="s">
        <v>25</v>
      </c>
      <c r="T17" s="1" t="n">
        <v>1</v>
      </c>
      <c r="U17" s="1" t="n">
        <v>184.62</v>
      </c>
      <c r="V17" s="1" t="n">
        <v>182.86</v>
      </c>
      <c r="W17" s="1" t="n">
        <v>172.03</v>
      </c>
      <c r="X17" s="1" t="n">
        <v>170.23</v>
      </c>
      <c r="Y17" s="1" t="n">
        <f aca="false">U17-X17</f>
        <v>14.39</v>
      </c>
      <c r="Z17" s="1" t="n">
        <f aca="false">V17-W17</f>
        <v>10.83</v>
      </c>
      <c r="AA17" s="1" t="n">
        <f aca="false">(Y17+Z17)/2</f>
        <v>12.61</v>
      </c>
      <c r="AB17" s="1" t="n">
        <f aca="false">$D$2/AA17*100</f>
        <v>1.98888758191664</v>
      </c>
      <c r="AC17" s="1" t="n">
        <f aca="false">Y17-Z17</f>
        <v>3.56</v>
      </c>
      <c r="AD17" s="1" t="n">
        <f aca="false">$D$2/AC17*100</f>
        <v>7.04490797976654</v>
      </c>
      <c r="AE17" s="1" t="n">
        <f aca="false">(AC17)/2/$X$34</f>
        <v>0.329914126284749</v>
      </c>
      <c r="AF17" s="1" t="n">
        <f aca="false">AE17*SQRT((AD17/100)^2+($Z$34/100)^2)</f>
        <v>0.0233767187420634</v>
      </c>
      <c r="AG17" s="1" t="n">
        <f aca="false">AF17/AE17*100</f>
        <v>7.08569802854908</v>
      </c>
      <c r="AH17" s="1" t="n">
        <f aca="false">2*$T$2^2/$H$2/AA17</f>
        <v>0.332026265747237</v>
      </c>
      <c r="AI17" s="1" t="n">
        <f aca="false">AH17*AB17/100</f>
        <v>0.00660362916814835</v>
      </c>
      <c r="AJ17" s="1" t="n">
        <f aca="false">AI17/AH17*100</f>
        <v>1.98888758191664</v>
      </c>
    </row>
    <row r="18" customFormat="false" ht="12.8" hidden="false" customHeight="false" outlineLevel="0" collapsed="false">
      <c r="A18" s="1" t="s">
        <v>33</v>
      </c>
      <c r="B18" s="2" t="n">
        <v>212.296</v>
      </c>
      <c r="C18" s="2" t="n">
        <v>10.957</v>
      </c>
      <c r="D18" s="1" t="n">
        <f aca="false">C18/B18*100</f>
        <v>5.16119003655274</v>
      </c>
      <c r="F18" s="1" t="n">
        <f aca="false">4*$A$2^2*$F$2/B18*10^-7</f>
        <v>0.0981093341372423</v>
      </c>
      <c r="G18" s="1" t="n">
        <f aca="false">D18/100*F18</f>
        <v>0.00506360917841959</v>
      </c>
      <c r="H18" s="1" t="n">
        <f aca="false">G18/F18*100</f>
        <v>5.16119003655274</v>
      </c>
      <c r="K18" s="1" t="n">
        <f aca="false">4*A2^2/H7/J7</f>
        <v>3829.56361567846</v>
      </c>
      <c r="L18" s="1" t="n">
        <f aca="false">K18*SQRT(K7^2+I7^2)/100</f>
        <v>2106.18048870327</v>
      </c>
      <c r="M18" s="1" t="n">
        <f aca="false">L18/K18*100</f>
        <v>54.9979240475454</v>
      </c>
      <c r="T18" s="1" t="n">
        <v>2</v>
      </c>
      <c r="U18" s="1" t="n">
        <v>188.26</v>
      </c>
      <c r="V18" s="1" t="n">
        <v>187.17</v>
      </c>
      <c r="W18" s="1" t="n">
        <v>167.71</v>
      </c>
      <c r="X18" s="1" t="n">
        <v>166.65</v>
      </c>
      <c r="Y18" s="1" t="n">
        <f aca="false">U18-X18</f>
        <v>21.61</v>
      </c>
      <c r="Z18" s="1" t="n">
        <f aca="false">V18-W18</f>
        <v>19.46</v>
      </c>
      <c r="AA18" s="1" t="n">
        <f aca="false">(Y18+Z18)/2</f>
        <v>20.535</v>
      </c>
      <c r="AB18" s="1" t="n">
        <f aca="false">$D$2/AA18*100</f>
        <v>1.22132322415237</v>
      </c>
      <c r="AC18" s="3" t="n">
        <f aca="false">Y18-Z18</f>
        <v>2.15000000000001</v>
      </c>
      <c r="AD18" s="1" t="n">
        <f aca="false">$D$2/AC18*100</f>
        <v>11.665056933939</v>
      </c>
      <c r="AE18" s="1" t="n">
        <f aca="false">(AC18)/2/$X$34</f>
        <v>0.199245890874217</v>
      </c>
      <c r="AF18" s="1" t="n">
        <f aca="false">AE18*SQRT((AD18/100)^2+($Z$34/100)^2)</f>
        <v>0.0232913197956916</v>
      </c>
      <c r="AG18" s="1" t="n">
        <f aca="false">AF18/AE18*100</f>
        <v>11.6897365830221</v>
      </c>
      <c r="AH18" s="1" t="n">
        <f aca="false">2*$T$2^2/$H$2/AA18</f>
        <v>0.203888542053697</v>
      </c>
      <c r="AI18" s="1" t="n">
        <f aca="false">AH18*AB18/100</f>
        <v>0.00249013811548747</v>
      </c>
      <c r="AJ18" s="1" t="n">
        <f aca="false">AI18/AH18*100</f>
        <v>1.22132322415237</v>
      </c>
    </row>
    <row r="19" customFormat="false" ht="12.8" hidden="false" customHeight="false" outlineLevel="0" collapsed="false">
      <c r="A19" s="1" t="s">
        <v>34</v>
      </c>
      <c r="B19" s="1" t="n">
        <f aca="false">(B18+B17)/2</f>
        <v>214.2805</v>
      </c>
      <c r="C19" s="1" t="n">
        <f aca="false">SQRT(C18^2+C17^2)/2</f>
        <v>5.53559493189305</v>
      </c>
      <c r="D19" s="1" t="n">
        <f aca="false">C19/B19*100</f>
        <v>2.58334049616883</v>
      </c>
      <c r="F19" s="1" t="n">
        <f aca="false">(F18+F17)/2</f>
        <v>0.0972090591339114</v>
      </c>
      <c r="G19" s="1" t="n">
        <f aca="false">SQRT(G18^2+G17^2)/2</f>
        <v>0.00255631487617269</v>
      </c>
      <c r="H19" s="1" t="n">
        <f aca="false">G19/F19*100</f>
        <v>2.62970848493782</v>
      </c>
      <c r="T19" s="1" t="n">
        <v>3</v>
      </c>
      <c r="U19" s="1" t="n">
        <v>190.94</v>
      </c>
      <c r="V19" s="1" t="n">
        <v>190.1</v>
      </c>
      <c r="W19" s="1" t="n">
        <v>164.77</v>
      </c>
      <c r="X19" s="1" t="n">
        <v>163.99</v>
      </c>
      <c r="Y19" s="1" t="n">
        <f aca="false">U19-X19</f>
        <v>26.95</v>
      </c>
      <c r="Z19" s="1" t="n">
        <f aca="false">V19-W19</f>
        <v>25.33</v>
      </c>
      <c r="AA19" s="1" t="n">
        <f aca="false">(Y19+Z19)/2</f>
        <v>26.14</v>
      </c>
      <c r="AB19" s="1" t="n">
        <f aca="false">$D$2/AA19*100</f>
        <v>0.959444239019469</v>
      </c>
      <c r="AC19" s="1" t="n">
        <f aca="false">Y19-Z19</f>
        <v>1.62</v>
      </c>
      <c r="AD19" s="1" t="n">
        <f aca="false">$D$2/AC19*100</f>
        <v>15.4814027209684</v>
      </c>
      <c r="AE19" s="1" t="n">
        <f aca="false">(AC19)/2/$X$34</f>
        <v>0.150129461961038</v>
      </c>
      <c r="AF19" s="1" t="n">
        <f aca="false">AE19*SQRT((AD19/100)^2+($Z$34/100)^2)</f>
        <v>0.0232700771768119</v>
      </c>
      <c r="AG19" s="1" t="n">
        <f aca="false">AF19/AE19*100</f>
        <v>15.5000070424892</v>
      </c>
      <c r="AH19" s="1" t="n">
        <f aca="false">2*$T$2^2/$H$2/AA19</f>
        <v>0.160170283514639</v>
      </c>
      <c r="AI19" s="1" t="n">
        <f aca="false">AH19*AB19/100</f>
        <v>0.00153674455780236</v>
      </c>
      <c r="AJ19" s="1" t="n">
        <f aca="false">AI19/AH19*100</f>
        <v>0.959444239019469</v>
      </c>
    </row>
    <row r="20" customFormat="false" ht="12.8" hidden="false" customHeight="false" outlineLevel="0" collapsed="false">
      <c r="K20" s="1" t="s">
        <v>26</v>
      </c>
      <c r="T20" s="1" t="n">
        <v>4</v>
      </c>
      <c r="U20" s="1" t="n">
        <v>193.14</v>
      </c>
      <c r="V20" s="1" t="n">
        <v>192.46</v>
      </c>
      <c r="W20" s="1" t="n">
        <v>162.45</v>
      </c>
      <c r="X20" s="1" t="n">
        <v>161.73</v>
      </c>
      <c r="Y20" s="1" t="n">
        <f aca="false">U20-X20</f>
        <v>31.41</v>
      </c>
      <c r="Z20" s="1" t="n">
        <f aca="false">V20-W20</f>
        <v>30.01</v>
      </c>
      <c r="AA20" s="1" t="n">
        <f aca="false">(Y20+Z20)/2</f>
        <v>30.71</v>
      </c>
      <c r="AB20" s="1" t="n">
        <f aca="false">$D$2/AA20*100</f>
        <v>0.816667939041644</v>
      </c>
      <c r="AC20" s="1" t="n">
        <f aca="false">Y20-Z20</f>
        <v>1.39999999999998</v>
      </c>
      <c r="AD20" s="1" t="n">
        <f aca="false">$D$2/AC20*100</f>
        <v>17.9141945771209</v>
      </c>
      <c r="AE20" s="1" t="n">
        <f aca="false">(AC20)/2/$X$34</f>
        <v>0.129741510336697</v>
      </c>
      <c r="AF20" s="1" t="n">
        <f aca="false">AE20*SQRT((AD20/100)^2+($Z$34/100)^2)</f>
        <v>0.0232630093710952</v>
      </c>
      <c r="AG20" s="1" t="n">
        <f aca="false">AF20/AE20*100</f>
        <v>17.9302748293314</v>
      </c>
      <c r="AH20" s="1" t="n">
        <f aca="false">2*$T$2^2/$H$2/AA20</f>
        <v>0.136335109445544</v>
      </c>
      <c r="AI20" s="1" t="n">
        <f aca="false">AH20*AB20/100</f>
        <v>0.0011134051284991</v>
      </c>
      <c r="AJ20" s="1" t="n">
        <f aca="false">AI20/AH20*100</f>
        <v>0.816667939041644</v>
      </c>
    </row>
    <row r="21" customFormat="false" ht="12.8" hidden="false" customHeight="false" outlineLevel="0" collapsed="false">
      <c r="K21" s="1" t="n">
        <f aca="false">2*B2/F2*10^7</f>
        <v>339.385711861531</v>
      </c>
      <c r="T21" s="1" t="n">
        <v>5</v>
      </c>
      <c r="U21" s="1" t="n">
        <v>195.1</v>
      </c>
      <c r="V21" s="1" t="n">
        <v>194.5</v>
      </c>
      <c r="W21" s="1" t="n">
        <v>160.4</v>
      </c>
      <c r="X21" s="1" t="n">
        <v>159.74</v>
      </c>
      <c r="Y21" s="1" t="n">
        <f aca="false">U21-X21</f>
        <v>35.36</v>
      </c>
      <c r="Z21" s="1" t="n">
        <f aca="false">V21-W21</f>
        <v>34.1</v>
      </c>
      <c r="AA21" s="1" t="n">
        <f aca="false">(Y21+Z21)/2</f>
        <v>34.73</v>
      </c>
      <c r="AB21" s="1" t="n">
        <f aca="false">$D$2/AA21*100</f>
        <v>0.722138566310651</v>
      </c>
      <c r="AC21" s="1" t="n">
        <f aca="false">Y21-Z21</f>
        <v>1.25999999999999</v>
      </c>
      <c r="AD21" s="1" t="n">
        <f aca="false">$D$2/AC21*100</f>
        <v>19.9046606412453</v>
      </c>
      <c r="AE21" s="1" t="n">
        <f aca="false">(AC21)/2/$X$34</f>
        <v>0.116767359303028</v>
      </c>
      <c r="AF21" s="1" t="n">
        <f aca="false">AE21*SQRT((AD21/100)^2+($Z$34/100)^2)</f>
        <v>0.0232590468862921</v>
      </c>
      <c r="AG21" s="1" t="n">
        <f aca="false">AF21/AE21*100</f>
        <v>19.9191341014499</v>
      </c>
      <c r="AH21" s="1" t="n">
        <f aca="false">2*$T$2^2/$H$2/AA21</f>
        <v>0.120554310713293</v>
      </c>
      <c r="AI21" s="1" t="n">
        <f aca="false">AH21*AB21/100</f>
        <v>0.000870569171010662</v>
      </c>
      <c r="AJ21" s="1" t="n">
        <f aca="false">AI21/AH21*100</f>
        <v>0.722138566310651</v>
      </c>
    </row>
    <row r="22" customFormat="false" ht="12.8" hidden="false" customHeight="false" outlineLevel="0" collapsed="false">
      <c r="T22" s="1" t="n">
        <v>6</v>
      </c>
      <c r="U22" s="1" t="n">
        <v>196.9</v>
      </c>
      <c r="V22" s="1" t="n">
        <v>196.33</v>
      </c>
      <c r="W22" s="1" t="n">
        <v>158.51</v>
      </c>
      <c r="X22" s="1" t="n">
        <v>157.9</v>
      </c>
      <c r="Y22" s="1" t="n">
        <f aca="false">U22-X22</f>
        <v>39</v>
      </c>
      <c r="Z22" s="1" t="n">
        <f aca="false">V22-W22</f>
        <v>37.82</v>
      </c>
      <c r="AA22" s="1" t="n">
        <f aca="false">(Y22+Z22)/2</f>
        <v>38.41</v>
      </c>
      <c r="AB22" s="1" t="n">
        <f aca="false">$D$2/AA22*100</f>
        <v>0.652951637801846</v>
      </c>
      <c r="AC22" s="1" t="n">
        <f aca="false">Y22-Z22</f>
        <v>1.17999999999998</v>
      </c>
      <c r="AD22" s="1" t="n">
        <f aca="false">$D$2/AC22*100</f>
        <v>21.2541291592961</v>
      </c>
      <c r="AE22" s="1" t="n">
        <f aca="false">(AC22)/2/$X$34</f>
        <v>0.109353558712359</v>
      </c>
      <c r="AF22" s="1" t="n">
        <f aca="false">AE22*SQRT((AD22/100)^2+($Z$34/100)^2)</f>
        <v>0.0232569696106106</v>
      </c>
      <c r="AG22" s="1" t="n">
        <f aca="false">AF22/AE22*100</f>
        <v>21.2676842751731</v>
      </c>
      <c r="AH22" s="1" t="n">
        <f aca="false">2*$T$2^2/$H$2/AA22</f>
        <v>0.109004197112019</v>
      </c>
      <c r="AI22" s="1" t="n">
        <f aca="false">AH22*AB22/100</f>
        <v>0.000711744690315683</v>
      </c>
      <c r="AJ22" s="1" t="n">
        <f aca="false">AI22/AH22*100</f>
        <v>0.652951637801846</v>
      </c>
    </row>
    <row r="23" customFormat="false" ht="12.8" hidden="false" customHeight="false" outlineLevel="0" collapsed="false">
      <c r="K23" s="1" t="s">
        <v>27</v>
      </c>
      <c r="T23" s="1" t="n">
        <v>7</v>
      </c>
      <c r="U23" s="1" t="n">
        <v>198.59</v>
      </c>
      <c r="V23" s="1" t="n">
        <v>198.05</v>
      </c>
      <c r="W23" s="1" t="n">
        <v>156.77</v>
      </c>
      <c r="X23" s="1" t="n">
        <v>156.23</v>
      </c>
      <c r="Y23" s="1" t="n">
        <f aca="false">U23-X23</f>
        <v>42.36</v>
      </c>
      <c r="Z23" s="1" t="n">
        <f aca="false">V23-W23</f>
        <v>41.28</v>
      </c>
      <c r="AA23" s="1" t="n">
        <f aca="false">(Y23+Z23)/2</f>
        <v>41.82</v>
      </c>
      <c r="AB23" s="1" t="n">
        <f aca="false">$D$2/AA23*100</f>
        <v>0.599710004972953</v>
      </c>
      <c r="AC23" s="1" t="n">
        <f aca="false">Y23-Z23</f>
        <v>1.08000000000001</v>
      </c>
      <c r="AD23" s="1" t="n">
        <f aca="false">$D$2/AC23*100</f>
        <v>23.2221040814524</v>
      </c>
      <c r="AE23" s="1" t="n">
        <f aca="false">(AC23)/2/$X$34</f>
        <v>0.100086307974026</v>
      </c>
      <c r="AF23" s="1" t="n">
        <f aca="false">AE23*SQRT((AD23/100)^2+($Z$34/100)^2)</f>
        <v>0.0232545643362832</v>
      </c>
      <c r="AG23" s="1" t="n">
        <f aca="false">AF23/AE23*100</f>
        <v>23.2345111004775</v>
      </c>
      <c r="AH23" s="1" t="n">
        <f aca="false">2*$T$2^2/$H$2/AA23</f>
        <v>0.10011600217773</v>
      </c>
      <c r="AI23" s="1" t="n">
        <f aca="false">AH23*AB23/100</f>
        <v>0.000600405681638786</v>
      </c>
      <c r="AJ23" s="1" t="n">
        <f aca="false">AI23/AH23*100</f>
        <v>0.599710004972953</v>
      </c>
    </row>
    <row r="24" customFormat="false" ht="12.8" hidden="false" customHeight="false" outlineLevel="0" collapsed="false">
      <c r="K24" s="1" t="n">
        <f aca="false">K18/K21</f>
        <v>11.2838091935966</v>
      </c>
      <c r="L24" s="1" t="n">
        <f aca="false">K24*M18/100</f>
        <v>6.20586080996419</v>
      </c>
      <c r="M24" s="1" t="n">
        <f aca="false">L24/K24*100</f>
        <v>54.9979240475454</v>
      </c>
    </row>
    <row r="25" customFormat="false" ht="12.8" hidden="false" customHeight="false" outlineLevel="0" collapsed="false">
      <c r="B25" s="1" t="s">
        <v>29</v>
      </c>
      <c r="C25" s="1" t="s">
        <v>30</v>
      </c>
      <c r="D25" s="1" t="s">
        <v>31</v>
      </c>
      <c r="F25" s="1" t="s">
        <v>35</v>
      </c>
      <c r="T25" s="1" t="s">
        <v>20</v>
      </c>
    </row>
    <row r="26" customFormat="false" ht="12.8" hidden="false" customHeight="false" outlineLevel="0" collapsed="false">
      <c r="B26" s="4" t="n">
        <v>25.838</v>
      </c>
      <c r="C26" s="4" t="n">
        <v>1.203</v>
      </c>
      <c r="D26" s="1" t="n">
        <f aca="false">C26/B26*100</f>
        <v>4.65593312175865</v>
      </c>
      <c r="F26" s="1" t="n">
        <f aca="false">B26*F2/4/A2^2</f>
        <v>4.30803910140335</v>
      </c>
      <c r="G26" s="4" t="n">
        <f aca="false">D26/100*F26</f>
        <v>0.200579419420552</v>
      </c>
      <c r="H26" s="1" t="n">
        <f aca="false">G26/F26*100</f>
        <v>4.65593312175865</v>
      </c>
      <c r="K26" s="1" t="s">
        <v>36</v>
      </c>
      <c r="T26" s="1" t="n">
        <v>0.63</v>
      </c>
      <c r="U26" s="1" t="n">
        <f aca="false">D2</f>
        <v>0.250798724079689</v>
      </c>
      <c r="V26" s="1" t="n">
        <f aca="false">U26/T26*100</f>
        <v>39.8093212824903</v>
      </c>
    </row>
    <row r="27" customFormat="false" ht="12.8" hidden="false" customHeight="false" outlineLevel="0" collapsed="false">
      <c r="K27" s="1" t="n">
        <f aca="false">PI()*SQRT(J2)/(1-J2)</f>
        <v>19.3093687576506</v>
      </c>
    </row>
    <row r="29" customFormat="false" ht="12.8" hidden="false" customHeight="false" outlineLevel="0" collapsed="false">
      <c r="T29" s="1" t="s">
        <v>29</v>
      </c>
      <c r="U29" s="1" t="s">
        <v>30</v>
      </c>
      <c r="V29" s="1" t="s">
        <v>31</v>
      </c>
      <c r="X29" s="1" t="s">
        <v>1</v>
      </c>
    </row>
    <row r="30" customFormat="false" ht="12.8" hidden="false" customHeight="false" outlineLevel="0" collapsed="false">
      <c r="T30" s="4" t="n">
        <v>251.617</v>
      </c>
      <c r="U30" s="4" t="n">
        <v>2.589</v>
      </c>
      <c r="V30" s="1" t="n">
        <f aca="false">U30/T30*100</f>
        <v>1.02894478512978</v>
      </c>
      <c r="X30" s="1" t="n">
        <f aca="false">4*$T$2^2*$G$2/T30*10^-7</f>
        <v>0.105045525540802</v>
      </c>
      <c r="Y30" s="1" t="n">
        <f aca="false">V30/100*X30</f>
        <v>0.00108086045706425</v>
      </c>
      <c r="Z30" s="1" t="n">
        <f aca="false">Y30/X30*100</f>
        <v>1.02894478512978</v>
      </c>
    </row>
    <row r="33" customFormat="false" ht="12.8" hidden="false" customHeight="false" outlineLevel="0" collapsed="false">
      <c r="T33" s="1" t="s">
        <v>29</v>
      </c>
      <c r="U33" s="1" t="s">
        <v>30</v>
      </c>
      <c r="V33" s="1" t="s">
        <v>31</v>
      </c>
      <c r="X33" s="1" t="s">
        <v>35</v>
      </c>
    </row>
    <row r="34" customFormat="false" ht="12.8" hidden="false" customHeight="false" outlineLevel="0" collapsed="false">
      <c r="T34" s="5" t="n">
        <v>45.179</v>
      </c>
      <c r="U34" s="4" t="n">
        <v>0.343</v>
      </c>
      <c r="V34" s="1" t="n">
        <f aca="false">U34/T34*100</f>
        <v>0.759202284247106</v>
      </c>
      <c r="X34" s="1" t="n">
        <f aca="false">T34*H2/4/T2^2</f>
        <v>5.39534338842975</v>
      </c>
      <c r="Y34" s="4" t="n">
        <f aca="false">V34/100*X34</f>
        <v>0.0409615702479339</v>
      </c>
      <c r="Z34" s="1" t="n">
        <f aca="false">Y34/X34*100</f>
        <v>0.759202284247106</v>
      </c>
    </row>
    <row r="37" customFormat="false" ht="12.8" hidden="false" customHeight="false" outlineLevel="0" collapsed="false">
      <c r="X37" s="1" t="s">
        <v>25</v>
      </c>
    </row>
    <row r="38" customFormat="false" ht="12.8" hidden="false" customHeight="false" outlineLevel="0" collapsed="false">
      <c r="X38" s="1" t="n">
        <f aca="false">4*T2^2/AA17/T26</f>
        <v>6092.41846355248</v>
      </c>
      <c r="Y38" s="1" t="n">
        <f aca="false">X38*SQRT(V26^2+AB17^2)/100</f>
        <v>2428.3754351508</v>
      </c>
      <c r="Z38" s="1" t="n">
        <f aca="false">Y38/X38*100</f>
        <v>39.8589730774143</v>
      </c>
    </row>
    <row r="40" customFormat="false" ht="12.8" hidden="false" customHeight="false" outlineLevel="0" collapsed="false">
      <c r="X40" s="1" t="s">
        <v>26</v>
      </c>
    </row>
    <row r="41" customFormat="false" ht="12.8" hidden="false" customHeight="false" outlineLevel="0" collapsed="false">
      <c r="X41" s="1" t="n">
        <f aca="false">2*B2/H2*10^7</f>
        <v>346.020761245675</v>
      </c>
    </row>
    <row r="43" customFormat="false" ht="12.8" hidden="false" customHeight="false" outlineLevel="0" collapsed="false">
      <c r="X43" s="1" t="s">
        <v>27</v>
      </c>
    </row>
    <row r="44" customFormat="false" ht="12.8" hidden="false" customHeight="false" outlineLevel="0" collapsed="false">
      <c r="X44" s="1" t="n">
        <f aca="false">X38/X41</f>
        <v>17.6070893596667</v>
      </c>
      <c r="Y44" s="1" t="n">
        <f aca="false">X44*Z38/100</f>
        <v>7.01800500758582</v>
      </c>
      <c r="Z44" s="1" t="n">
        <f aca="false">Y44/X44*100</f>
        <v>39.8589730774143</v>
      </c>
    </row>
    <row r="46" customFormat="false" ht="12.8" hidden="false" customHeight="false" outlineLevel="0" collapsed="false">
      <c r="X46" s="1" t="s">
        <v>36</v>
      </c>
    </row>
    <row r="47" customFormat="false" ht="12.8" hidden="false" customHeight="false" outlineLevel="0" collapsed="false">
      <c r="X47" s="1" t="n">
        <f aca="false">K27</f>
        <v>19.3093687576506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2026-02-08T18:13:05Z</dcterms:created>
  <dc:creator/>
  <dc:description/>
  <dc:language>ru-RU</dc:language>
  <cp:lastModifiedBy/>
  <dcterms:modified xsi:type="dcterms:W3CDTF">2026-02-09T17:04:06Z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