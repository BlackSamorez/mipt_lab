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<sst xmlns="http://schemas.openxmlformats.org/spreadsheetml/2006/main" count="58" uniqueCount="49">
  <si>
    <t xml:space="preserve">l, м</t>
  </si>
  <si>
    <t xml:space="preserve">d2, м</t>
  </si>
  <si>
    <t xml:space="preserve">d1, м</t>
  </si>
  <si>
    <t xml:space="preserve">АЧХ ФЧХ</t>
  </si>
  <si>
    <t xml:space="preserve">\nu, МГц</t>
  </si>
  <si>
    <t xml:space="preserve">\omega, 10^6 рад/с</t>
  </si>
  <si>
    <t xml:space="preserve">\Delta x, нс</t>
  </si>
  <si>
    <t xml:space="preserve">\Delta \varphi, рад</t>
  </si>
  <si>
    <t xml:space="preserve">\sigma_{\Delta \varphi}</t>
  </si>
  <si>
    <t xml:space="preserve">U_вх, В</t>
  </si>
  <si>
    <t xml:space="preserve">U_вых, В</t>
  </si>
  <si>
    <t xml:space="preserve">a, см^-1</t>
  </si>
  <si>
    <t xml:space="preserve">\sigma_a</t>
  </si>
  <si>
    <t xml:space="preserve">k, рад/см</t>
  </si>
  <si>
    <t xml:space="preserve">\sigma_k</t>
  </si>
  <si>
    <t xml:space="preserve">X_1, 10^12 (рад/с)^2</t>
  </si>
  <si>
    <t xml:space="preserve">Y_1, см^-2</t>
  </si>
  <si>
    <t xml:space="preserve">\sigma_Y_1</t>
  </si>
  <si>
    <t xml:space="preserve">X_2, Мгц^1/2</t>
  </si>
  <si>
    <t xml:space="preserve">X_3, Мгц^3/2</t>
  </si>
  <si>
    <t xml:space="preserve">Y_3, см^-2</t>
  </si>
  <si>
    <t xml:space="preserve">\sigma_Y_3</t>
  </si>
  <si>
    <t xml:space="preserve">Оценка фазовой и групповой скорости</t>
  </si>
  <si>
    <t xml:space="preserve">n</t>
  </si>
  <si>
    <t xml:space="preserve">\nu синус с нагр, МГц</t>
  </si>
  <si>
    <t xml:space="preserve">\nu синус без нагр, МГц</t>
  </si>
  <si>
    <t xml:space="preserve">\nu прям с нагр, МГц</t>
  </si>
  <si>
    <t xml:space="preserve">\nu прям без нагр, МГц</t>
  </si>
  <si>
    <t xml:space="preserve">k, МГц</t>
  </si>
  <si>
    <t xml:space="preserve">\sigma_k, МГц</t>
  </si>
  <si>
    <t xml:space="preserve">\varepsilon_k, \%</t>
  </si>
  <si>
    <t xml:space="preserve">V_\Phi, см/с</t>
  </si>
  <si>
    <t xml:space="preserve">\sigma_V_\Phi, см/с</t>
  </si>
  <si>
    <t xml:space="preserve">w</t>
  </si>
  <si>
    <t xml:space="preserve">погр</t>
  </si>
  <si>
    <t xml:space="preserve">k1 см⁻²/(рад/с)²</t>
  </si>
  <si>
    <t xml:space="preserve">Z, Ом</t>
  </si>
  <si>
    <t xml:space="preserve">k2, см⁻¹/гц¹ᐧ²</t>
  </si>
  <si>
    <t xml:space="preserve">k3, см⁻²/Гц³ᐧ²
</t>
  </si>
  <si>
    <t xml:space="preserve">L_x*C_x</t>
  </si>
  <si>
    <t xml:space="preserve">L_x</t>
  </si>
  <si>
    <t xml:space="preserve">\sigma</t>
  </si>
  <si>
    <t xml:space="preserve">C_x</t>
  </si>
  <si>
    <t xml:space="preserve">\mu</t>
  </si>
  <si>
    <t xml:space="preserve">Y_2, см^-2</t>
  </si>
  <si>
    <t xml:space="preserve">\sigma_Y_2</t>
  </si>
  <si>
    <t xml:space="preserve">\varepsilon</t>
  </si>
  <si>
    <t xml:space="preserve">V_Ф, см/с</t>
  </si>
  <si>
    <t xml:space="preserve">V_Ф^ср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</si>
</sst>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.0"/>
    <numFmt numFmtId="167" formatCode="0.0000000"/>
    <numFmt numFmtId="168" formatCode="0.000E+00"/>
    <numFmt numFmtId="169" formatCode="0.00000E+00"/>
    <numFmt numFmtId="170" formatCode="0.0000E+00"/>
    <numFmt numFmtId="171" formatCode="0.00E+00"/>
    <numFmt numFmtId="172" formatCode="0.0000"/>
    <numFmt numFmtId="173" formatCode="0.00"/>
    <numFmt numFmtId="174" formatCode="0.000000"/>
    <numFmt numFmtId="175" formatCode="0.00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78"/>
  <sheetViews>
    <sheetView showFormulas="false" showGridLines="true" showRowColHeaders="true" showZeros="true" rightToLeft="false" tabSelected="true" showOutlineSymbols="true" defaultGridColor="true" view="normal" topLeftCell="N23" colorId="64" zoomScale="130" zoomScaleNormal="130" zoomScalePageLayoutView="100" workbookViewId="0">
      <selection pane="topLeft" activeCell="X34" activeCellId="0" sqref="X3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L1" s="1" t="s">
        <v>3</v>
      </c>
    </row>
    <row r="2" customFormat="false" ht="12.8" hidden="false" customHeight="false" outlineLevel="0" collapsed="false">
      <c r="A2" s="1" t="n">
        <v>50.527</v>
      </c>
      <c r="B2" s="1" t="n">
        <v>0.0046</v>
      </c>
      <c r="C2" s="1" t="n">
        <v>0.00137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21</v>
      </c>
    </row>
    <row r="3" customFormat="false" ht="12.8" hidden="false" customHeight="false" outlineLevel="0" collapsed="false">
      <c r="B3" s="1" t="n">
        <v>0.0001</v>
      </c>
      <c r="C3" s="1" t="n">
        <v>2E-005</v>
      </c>
      <c r="M3" s="1" t="n">
        <v>1</v>
      </c>
      <c r="N3" s="2" t="n">
        <f aca="false">M3*2*PI()</f>
        <v>6.28318530717959</v>
      </c>
      <c r="O3" s="3" t="n">
        <f aca="false">P3/2/PI()/M3*1000</f>
        <v>252</v>
      </c>
      <c r="P3" s="2" t="n">
        <f aca="false">2*PI()*M3*N23/10^3</f>
        <v>1.58336269740926</v>
      </c>
      <c r="Q3" s="4" t="n">
        <f aca="false">P3*$O$20/O3</f>
        <v>0.0125663706143592</v>
      </c>
      <c r="R3" s="1" t="n">
        <v>27.2</v>
      </c>
      <c r="S3" s="1" t="n">
        <v>25.2</v>
      </c>
      <c r="T3" s="1" t="n">
        <f aca="false">1/$A$6*LN(R3/S3)</f>
        <v>1.51152806983541E-005</v>
      </c>
      <c r="U3" s="5" t="n">
        <f aca="false">$Q$20*SQRT(1/R3^2+1/S3^2)/$A$6</f>
        <v>5.35315037911121E-006</v>
      </c>
      <c r="V3" s="6" t="n">
        <f aca="false">P3/$A$6</f>
        <v>0.000313369623648595</v>
      </c>
      <c r="W3" s="6" t="n">
        <f aca="false">V3*Q3/P3</f>
        <v>2.48706050514758E-006</v>
      </c>
      <c r="X3" s="2" t="n">
        <f aca="false">N3^2</f>
        <v>39.4784176043574</v>
      </c>
      <c r="Y3" s="7" t="n">
        <f aca="false">V3^2-T3^2</f>
        <v>9.7972049315072E-008</v>
      </c>
      <c r="Z3" s="8" t="n">
        <f aca="false">SQRT((2*U3*T3)^2+(2*V3*W3)^2)</f>
        <v>1.56711647028996E-009</v>
      </c>
      <c r="AA3" s="4" t="n">
        <f aca="false">SQRT(M3)</f>
        <v>1</v>
      </c>
      <c r="AB3" s="2" t="n">
        <f aca="false">M3^(3/2)</f>
        <v>1</v>
      </c>
      <c r="AC3" s="5" t="n">
        <f aca="false">T3*V3</f>
        <v>4.73666982378611E-009</v>
      </c>
      <c r="AD3" s="5" t="n">
        <f aca="false">AC3*SQRT((U3/T3)^2+(W3/V3)^2)</f>
        <v>1.67793588658761E-009</v>
      </c>
    </row>
    <row r="4" customFormat="false" ht="12.8" hidden="false" customHeight="true" outlineLevel="0" collapsed="false">
      <c r="B4" s="1" t="n">
        <f aca="false">B3/B2*100</f>
        <v>2.17391304347826</v>
      </c>
      <c r="C4" s="2" t="n">
        <f aca="false">C3/C2*100</f>
        <v>1.45985401459854</v>
      </c>
      <c r="M4" s="1" t="n">
        <v>3.5</v>
      </c>
      <c r="N4" s="2" t="n">
        <f aca="false">M4*2*PI()</f>
        <v>21.9911485751286</v>
      </c>
      <c r="O4" s="3" t="n">
        <f aca="false">P4/2/PI()/M4*1000</f>
        <v>254</v>
      </c>
      <c r="P4" s="2" t="n">
        <f aca="false">2*PI()*M4*N24/10^3</f>
        <v>5.58575173808265</v>
      </c>
      <c r="Q4" s="4" t="n">
        <f aca="false">P4*$O$20/O4</f>
        <v>0.0439822971502571</v>
      </c>
      <c r="R4" s="1" t="n">
        <v>26.8</v>
      </c>
      <c r="S4" s="1" t="n">
        <v>24.2</v>
      </c>
      <c r="T4" s="1" t="n">
        <f aca="false">1/$A$6*LN(R4/S4)</f>
        <v>2.01969747568964E-005</v>
      </c>
      <c r="U4" s="5" t="n">
        <f aca="false">$Q$20*SQRT(1/R4^2+1/S4^2)/$A$6</f>
        <v>5.50953749655472E-006</v>
      </c>
      <c r="V4" s="6" t="n">
        <f aca="false">P4/$A$6</f>
        <v>0.0011054983945381</v>
      </c>
      <c r="W4" s="6" t="n">
        <f aca="false">V4*Q4/P4</f>
        <v>8.70471176801653E-006</v>
      </c>
      <c r="X4" s="2" t="n">
        <f aca="false">N4^2</f>
        <v>483.610615653379</v>
      </c>
      <c r="Y4" s="7" t="n">
        <f aca="false">V4^2-T4^2</f>
        <v>1.22171878253698E-006</v>
      </c>
      <c r="Z4" s="8" t="n">
        <f aca="false">SQRT((2*U4*T4)^2+(2*V4*W4)^2)</f>
        <v>1.92473764647765E-008</v>
      </c>
      <c r="AA4" s="4" t="n">
        <f aca="false">SQRT(M4)</f>
        <v>1.87082869338697</v>
      </c>
      <c r="AB4" s="2" t="n">
        <f aca="false">M4^(3/2)</f>
        <v>6.5479004268544</v>
      </c>
      <c r="AC4" s="5" t="n">
        <f aca="false">T4*V4</f>
        <v>2.23277231682755E-008</v>
      </c>
      <c r="AD4" s="5" t="n">
        <f aca="false">AC4*SQRT((U4/T4)^2+(W4/V4)^2)</f>
        <v>6.09332166596472E-009</v>
      </c>
    </row>
    <row r="5" customFormat="false" ht="12.8" hidden="false" customHeight="true" outlineLevel="0" collapsed="false">
      <c r="I5" s="1"/>
      <c r="J5" s="1"/>
      <c r="K5" s="1"/>
      <c r="L5" s="1"/>
      <c r="M5" s="1" t="n">
        <v>6</v>
      </c>
      <c r="N5" s="2" t="n">
        <f aca="false">M5*2*PI()</f>
        <v>37.6991118430775</v>
      </c>
      <c r="O5" s="3" t="n">
        <f aca="false">P5/2/PI()/M5*1000</f>
        <v>252.666666666667</v>
      </c>
      <c r="P5" s="2" t="n">
        <f aca="false">2*PI()*M5*N25/10^3 + 2*PI()</f>
        <v>9.52530892568425</v>
      </c>
      <c r="Q5" s="4" t="n">
        <f aca="false">P5*$O$20/O5</f>
        <v>0.075398223686155</v>
      </c>
      <c r="R5" s="9" t="n">
        <v>26.8</v>
      </c>
      <c r="S5" s="9" t="n">
        <v>23.6</v>
      </c>
      <c r="T5" s="1" t="n">
        <f aca="false">1/$A$6*LN(R5/S5)</f>
        <v>2.51657876947467E-005</v>
      </c>
      <c r="U5" s="5" t="n">
        <f aca="false">$Q$20*SQRT(1/R5^2+1/S5^2)/$A$6</f>
        <v>5.58713089677742E-006</v>
      </c>
      <c r="V5" s="6" t="n">
        <f aca="false">P5/$A$6</f>
        <v>0.00188519186290187</v>
      </c>
      <c r="W5" s="6" t="n">
        <f aca="false">V5*Q5/P5</f>
        <v>1.49223630308855E-005</v>
      </c>
      <c r="X5" s="2" t="n">
        <f aca="false">N5^2</f>
        <v>1421.22303375687</v>
      </c>
      <c r="Y5" s="7" t="n">
        <f aca="false">V5^2-T5^2</f>
        <v>3.55331504308111E-006</v>
      </c>
      <c r="Z5" s="8" t="n">
        <f aca="false">SQRT((2*U5*T5)^2+(2*V5*W5)^2)</f>
        <v>5.62637374754626E-008</v>
      </c>
      <c r="AA5" s="4" t="n">
        <f aca="false">SQRT(M5)</f>
        <v>2.44948974278318</v>
      </c>
      <c r="AB5" s="2" t="n">
        <f aca="false">M5^(3/2)</f>
        <v>14.6969384566991</v>
      </c>
      <c r="AC5" s="5" t="n">
        <f aca="false">T5*V5</f>
        <v>4.74423381856523E-008</v>
      </c>
      <c r="AD5" s="5" t="n">
        <f aca="false">AC5*SQRT((U5/T5)^2+(W5/V5)^2)</f>
        <v>1.05395061346928E-008</v>
      </c>
    </row>
    <row r="6" customFormat="false" ht="12.8" hidden="false" customHeight="true" outlineLevel="0" collapsed="false">
      <c r="A6" s="1" t="n">
        <f aca="false">A2*100</f>
        <v>5052.7</v>
      </c>
      <c r="B6" s="1" t="n">
        <f aca="false">B2*100</f>
        <v>0.46</v>
      </c>
      <c r="C6" s="1" t="n">
        <f aca="false">C2*100</f>
        <v>0.137</v>
      </c>
      <c r="I6" s="1"/>
      <c r="J6" s="1"/>
      <c r="K6" s="1"/>
      <c r="L6" s="1"/>
      <c r="M6" s="1" t="n">
        <v>8.5</v>
      </c>
      <c r="N6" s="2" t="n">
        <f aca="false">M6*2*PI()</f>
        <v>53.4070751110265</v>
      </c>
      <c r="O6" s="3" t="n">
        <f aca="false">P6/2/PI()/M6*1000</f>
        <v>252.894117647059</v>
      </c>
      <c r="P6" s="2" t="n">
        <f aca="false">2*PI()*M6*N26/10^3 + 4*PI()</f>
        <v>13.5063351363132</v>
      </c>
      <c r="Q6" s="4" t="n">
        <f aca="false">P6*$O$20/O6</f>
        <v>0.106814150222053</v>
      </c>
      <c r="R6" s="1" t="n">
        <v>26.8</v>
      </c>
      <c r="S6" s="1" t="n">
        <v>22.44</v>
      </c>
      <c r="T6" s="1" t="n">
        <f aca="false">1/$A$6*LN(R6/S6)</f>
        <v>3.51409754907902E-005</v>
      </c>
      <c r="U6" s="5" t="n">
        <f aca="false">$Q$20*SQRT(1/R6^2+1/S6^2)/$A$6</f>
        <v>5.75158798156951E-006</v>
      </c>
      <c r="V6" s="6" t="n">
        <f aca="false">P6/$A$6</f>
        <v>0.00267309263093262</v>
      </c>
      <c r="W6" s="6" t="n">
        <f aca="false">V6*Q6/P6</f>
        <v>2.11400142937544E-005</v>
      </c>
      <c r="X6" s="2" t="n">
        <f aca="false">N6^2</f>
        <v>2852.31567191482</v>
      </c>
      <c r="Y6" s="7" t="n">
        <f aca="false">V6^2-T6^2</f>
        <v>7.14418932538782E-006</v>
      </c>
      <c r="Z6" s="8" t="n">
        <f aca="false">SQRT((2*U6*T6)^2+(2*V6*W6)^2)</f>
        <v>1.13019155759985E-007</v>
      </c>
      <c r="AA6" s="4" t="n">
        <f aca="false">SQRT(M6)</f>
        <v>2.91547594742265</v>
      </c>
      <c r="AB6" s="2" t="n">
        <f aca="false">M6^(3/2)</f>
        <v>24.7815455530925</v>
      </c>
      <c r="AC6" s="5" t="n">
        <f aca="false">T6*V6</f>
        <v>9.39350826282149E-008</v>
      </c>
      <c r="AD6" s="5" t="n">
        <f aca="false">AC6*SQRT((U6/T6)^2+(W6/V6)^2)</f>
        <v>1.53924645873149E-008</v>
      </c>
    </row>
    <row r="7" customFormat="false" ht="12.8" hidden="false" customHeight="false" outlineLevel="0" collapsed="false">
      <c r="B7" s="1" t="n">
        <f aca="false">B3*100</f>
        <v>0.01</v>
      </c>
      <c r="C7" s="1" t="n">
        <f aca="false">C3*100</f>
        <v>0.002</v>
      </c>
      <c r="I7" s="1"/>
      <c r="J7" s="1"/>
      <c r="K7" s="1"/>
      <c r="L7" s="1"/>
      <c r="M7" s="1" t="n">
        <v>11</v>
      </c>
      <c r="N7" s="2" t="n">
        <f aca="false">M7*2*PI()</f>
        <v>69.1150383789754</v>
      </c>
      <c r="O7" s="3" t="n">
        <f aca="false">P7/2/PI()/M7*1000</f>
        <v>252.218181818182</v>
      </c>
      <c r="P7" s="2" t="n">
        <f aca="false">2*PI()*M7*N27/10^3 + 4*PI()</f>
        <v>17.432069316239</v>
      </c>
      <c r="Q7" s="4" t="n">
        <f aca="false">P7*$O$20/O7</f>
        <v>0.138230076757951</v>
      </c>
      <c r="R7" s="1" t="n">
        <v>27.26</v>
      </c>
      <c r="S7" s="1" t="n">
        <v>22.04</v>
      </c>
      <c r="T7" s="1" t="n">
        <f aca="false">1/$A$6*LN(R7/S7)</f>
        <v>4.20688823764864E-005</v>
      </c>
      <c r="U7" s="5" t="n">
        <f aca="false">$Q$20*SQRT(1/R7^2+1/S7^2)/$A$6</f>
        <v>5.77380190154599E-006</v>
      </c>
      <c r="V7" s="6" t="n">
        <f aca="false">P7/$A$6</f>
        <v>0.00345005033274072</v>
      </c>
      <c r="W7" s="6" t="n">
        <f aca="false">V7*Q7/P7</f>
        <v>2.73576655566234E-005</v>
      </c>
      <c r="X7" s="2" t="n">
        <f aca="false">N7^2</f>
        <v>4776.88853012725</v>
      </c>
      <c r="Y7" s="7" t="n">
        <f aca="false">V7^2-T7^2</f>
        <v>1.190107750758E-005</v>
      </c>
      <c r="Z7" s="8" t="n">
        <f aca="false">SQRT((2*U7*T7)^2+(2*V7*W7)^2)</f>
        <v>1.88771271400354E-007</v>
      </c>
      <c r="AA7" s="4" t="n">
        <f aca="false">SQRT(M7)</f>
        <v>3.3166247903554</v>
      </c>
      <c r="AB7" s="2" t="n">
        <f aca="false">M7^(3/2)</f>
        <v>36.4828726939094</v>
      </c>
      <c r="AC7" s="5" t="n">
        <f aca="false">T7*V7</f>
        <v>1.45139761641027E-007</v>
      </c>
      <c r="AD7" s="5" t="n">
        <f aca="false">AC7*SQRT((U7/T7)^2+(W7/V7)^2)</f>
        <v>1.99531272561513E-008</v>
      </c>
    </row>
    <row r="8" customFormat="false" ht="12.8" hidden="false" customHeight="false" outlineLevel="0" collapsed="false">
      <c r="B8" s="1" t="n">
        <f aca="false">B4</f>
        <v>2.17391304347826</v>
      </c>
      <c r="C8" s="2" t="n">
        <f aca="false">C4</f>
        <v>1.45985401459854</v>
      </c>
      <c r="J8" s="1"/>
      <c r="M8" s="1" t="n">
        <v>13.5</v>
      </c>
      <c r="N8" s="2" t="n">
        <f aca="false">M8*2*PI()</f>
        <v>84.8230016469244</v>
      </c>
      <c r="O8" s="3" t="n">
        <f aca="false">P8/2/PI()/M8*1000</f>
        <v>292.622222222222</v>
      </c>
      <c r="P8" s="2" t="n">
        <f aca="false">2*PI()*M8*N28/10^3 + 6*PI()</f>
        <v>24.8210952374822</v>
      </c>
      <c r="Q8" s="4" t="n">
        <f aca="false">P8*$O$20/O8</f>
        <v>0.169646003293849</v>
      </c>
      <c r="R8" s="1" t="n">
        <v>27.26</v>
      </c>
      <c r="S8" s="1" t="n">
        <v>21.67</v>
      </c>
      <c r="T8" s="1" t="n">
        <f aca="false">1/$A$6*LN(R8/S8)</f>
        <v>4.54195995646128E-005</v>
      </c>
      <c r="U8" s="5" t="n">
        <f aca="false">$Q$20*SQRT(1/R8^2+1/S8^2)/$A$6</f>
        <v>5.83361535986165E-006</v>
      </c>
      <c r="V8" s="6" t="n">
        <f aca="false">P8/$A$6</f>
        <v>0.0049124419097675</v>
      </c>
      <c r="W8" s="6" t="n">
        <f aca="false">V8*Q8/P8</f>
        <v>3.35753168194923E-005</v>
      </c>
      <c r="X8" s="2" t="n">
        <f aca="false">N8^2</f>
        <v>7194.94160839414</v>
      </c>
      <c r="Y8" s="7" t="n">
        <f aca="false">V8^2-T8^2</f>
        <v>2.41300225768155E-005</v>
      </c>
      <c r="Z8" s="8" t="n">
        <f aca="false">SQRT((2*U8*T8)^2+(2*V8*W8)^2)</f>
        <v>3.29874012597474E-007</v>
      </c>
      <c r="AA8" s="4" t="n">
        <f aca="false">SQRT(M8)</f>
        <v>3.67423461417477</v>
      </c>
      <c r="AB8" s="2" t="n">
        <f aca="false">M8^(3/2)</f>
        <v>49.6021672913594</v>
      </c>
      <c r="AC8" s="5" t="n">
        <f aca="false">T8*V8</f>
        <v>2.23121144426061E-007</v>
      </c>
      <c r="AD8" s="5" t="n">
        <f aca="false">AC8*SQRT((U8/T8)^2+(W8/V8)^2)</f>
        <v>2.86978431844507E-008</v>
      </c>
    </row>
    <row r="9" customFormat="false" ht="12.8" hidden="false" customHeight="false" outlineLevel="0" collapsed="false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 t="n">
        <v>16</v>
      </c>
      <c r="N9" s="2" t="n">
        <f aca="false">M9*2*PI()</f>
        <v>100.530964914873</v>
      </c>
      <c r="O9" s="3" t="n">
        <f aca="false">P9/2/PI()/M9*1000</f>
        <v>251.6</v>
      </c>
      <c r="P9" s="2" t="n">
        <f aca="false">2*PI()*M9*N29/10^3 + 8*PI()</f>
        <v>25.2935907725821</v>
      </c>
      <c r="Q9" s="4" t="n">
        <f aca="false">P9*$O$20/O9</f>
        <v>0.201061929829747</v>
      </c>
      <c r="R9" s="1" t="n">
        <v>26.86</v>
      </c>
      <c r="S9" s="1" t="n">
        <v>21.25</v>
      </c>
      <c r="T9" s="1" t="n">
        <f aca="false">1/$A$6*LN(R9/S9)</f>
        <v>4.63675452183319E-005</v>
      </c>
      <c r="U9" s="5" t="n">
        <f aca="false">$Q$20*SQRT(1/R9^2+1/S9^2)/$A$6</f>
        <v>5.93792415005542E-006</v>
      </c>
      <c r="V9" s="6" t="n">
        <f aca="false">P9/$A$6</f>
        <v>0.00500595538476105</v>
      </c>
      <c r="W9" s="6" t="n">
        <f aca="false">V9*Q9/P9</f>
        <v>3.97929680823613E-005</v>
      </c>
      <c r="X9" s="2" t="n">
        <f aca="false">N9^2</f>
        <v>10106.4749067155</v>
      </c>
      <c r="Y9" s="7" t="n">
        <f aca="false">V9^2-T9^2</f>
        <v>2.50574393649686E-005</v>
      </c>
      <c r="Z9" s="8" t="n">
        <f aca="false">SQRT((2*U9*T9)^2+(2*V9*W9)^2)</f>
        <v>3.98404026238258E-007</v>
      </c>
      <c r="AA9" s="4" t="n">
        <f aca="false">SQRT(M9)</f>
        <v>4</v>
      </c>
      <c r="AB9" s="2" t="n">
        <f aca="false">M9^(3/2)</f>
        <v>64</v>
      </c>
      <c r="AC9" s="5" t="n">
        <f aca="false">T9*V9</f>
        <v>2.3211386266386E-007</v>
      </c>
      <c r="AD9" s="5" t="n">
        <f aca="false">AC9*SQRT((U9/T9)^2+(W9/V9)^2)</f>
        <v>2.97821933182054E-008</v>
      </c>
      <c r="AG9" s="1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 t="n">
        <v>18.5</v>
      </c>
      <c r="N10" s="2" t="n">
        <f aca="false">M10*2*PI()</f>
        <v>116.238928182822</v>
      </c>
      <c r="O10" s="3" t="n">
        <f aca="false">P10/2/PI()/M10*1000</f>
        <v>251.416216216216</v>
      </c>
      <c r="P10" s="2" t="n">
        <f aca="false">2*PI()*M10*N30/10^3 + 8*PI()</f>
        <v>29.2243515007537</v>
      </c>
      <c r="Q10" s="4" t="n">
        <f aca="false">P10*$O$20/O10</f>
        <v>0.232477856365645</v>
      </c>
      <c r="R10" s="1" t="n">
        <v>27.26</v>
      </c>
      <c r="S10" s="1" t="n">
        <v>20.87</v>
      </c>
      <c r="T10" s="1" t="n">
        <f aca="false">1/$A$6*LN(R10/S10)</f>
        <v>5.28643507786485E-005</v>
      </c>
      <c r="U10" s="5" t="n">
        <f aca="false">$Q$20*SQRT(1/R10^2+1/S10^2)/$A$6</f>
        <v>5.97163551570242E-006</v>
      </c>
      <c r="V10" s="6" t="n">
        <f aca="false">P10/$A$6</f>
        <v>0.00578390791077121</v>
      </c>
      <c r="W10" s="6" t="n">
        <f aca="false">V10*Q10/P10</f>
        <v>4.60106193452302E-005</v>
      </c>
      <c r="X10" s="2" t="n">
        <f aca="false">N10^2</f>
        <v>13511.4884250913</v>
      </c>
      <c r="Y10" s="7" t="n">
        <f aca="false">V10^2-T10^2</f>
        <v>3.34507960806985E-005</v>
      </c>
      <c r="Z10" s="8" t="n">
        <f aca="false">SQRT((2*U10*T10)^2+(2*V10*W10)^2)</f>
        <v>5.32242744904308E-007</v>
      </c>
      <c r="AA10" s="4" t="n">
        <f aca="false">SQRT(M10)</f>
        <v>4.30116263352131</v>
      </c>
      <c r="AB10" s="2" t="n">
        <f aca="false">M10^(3/2)</f>
        <v>79.5715087201443</v>
      </c>
      <c r="AC10" s="5" t="n">
        <f aca="false">T10*V10</f>
        <v>3.05762536666409E-007</v>
      </c>
      <c r="AD10" s="5" t="n">
        <f aca="false">AC10*SQRT((U10/T10)^2+(W10/V10)^2)</f>
        <v>3.46249280520586E-008</v>
      </c>
      <c r="AE10" s="1"/>
      <c r="AF10" s="1"/>
      <c r="AG10" s="1"/>
      <c r="AH10" s="1"/>
      <c r="AI10" s="1"/>
    </row>
    <row r="11" customFormat="false" ht="12.8" hidden="false" customHeight="false" outlineLevel="0" collapsed="false">
      <c r="A11" s="1" t="s">
        <v>22</v>
      </c>
      <c r="I11" s="1"/>
      <c r="J11" s="1"/>
      <c r="K11" s="1"/>
      <c r="L11" s="1"/>
      <c r="M11" s="1" t="n">
        <v>21</v>
      </c>
      <c r="N11" s="2" t="n">
        <f aca="false">M11*2*PI()</f>
        <v>131.946891450771</v>
      </c>
      <c r="O11" s="3" t="n">
        <f aca="false">P11/2/PI()/M11*1000</f>
        <v>273.295238095238</v>
      </c>
      <c r="P11" s="2" t="n">
        <f aca="false">2*PI()*M11*N31/10^3 + 10*PI()</f>
        <v>36.0604571149651</v>
      </c>
      <c r="Q11" s="4" t="n">
        <f aca="false">P11*$O$20/O11</f>
        <v>0.263893782901543</v>
      </c>
      <c r="R11" s="1" t="n">
        <v>27.6</v>
      </c>
      <c r="S11" s="1" t="n">
        <v>20.5</v>
      </c>
      <c r="T11" s="1" t="n">
        <f aca="false">1/$A$6*LN(R11/S11)</f>
        <v>5.88578159357852E-005</v>
      </c>
      <c r="U11" s="5" t="n">
        <f aca="false">$Q$20*SQRT(1/R11^2+1/S11^2)/$A$6</f>
        <v>6.01304042375798E-006</v>
      </c>
      <c r="V11" s="6" t="n">
        <f aca="false">P11/$A$6</f>
        <v>0.00713686882557149</v>
      </c>
      <c r="W11" s="6" t="n">
        <f aca="false">V11*Q11/P11</f>
        <v>5.22282706080992E-005</v>
      </c>
      <c r="X11" s="2" t="n">
        <f aca="false">N11^2</f>
        <v>17409.9821635216</v>
      </c>
      <c r="Y11" s="7" t="n">
        <f aca="false">V11^2-T11^2</f>
        <v>5.09314323909175E-005</v>
      </c>
      <c r="Z11" s="8" t="n">
        <f aca="false">SQRT((2*U11*T11)^2+(2*V11*W11)^2)</f>
        <v>7.45492968666795E-007</v>
      </c>
      <c r="AA11" s="4" t="n">
        <f aca="false">SQRT(M11)</f>
        <v>4.58257569495584</v>
      </c>
      <c r="AB11" s="2" t="n">
        <f aca="false">M11^(3/2)</f>
        <v>96.2340895940726</v>
      </c>
      <c r="AC11" s="5" t="n">
        <f aca="false">T11*V11</f>
        <v>4.2006051169333E-007</v>
      </c>
      <c r="AD11" s="5" t="n">
        <f aca="false">AC11*SQRT((U11/T11)^2+(W11/V11)^2)</f>
        <v>4.30242399803686E-008</v>
      </c>
      <c r="AE11" s="1"/>
      <c r="AF11" s="1"/>
      <c r="AG11" s="1"/>
      <c r="AH11" s="1"/>
      <c r="AI11" s="9"/>
      <c r="AJ11" s="9"/>
      <c r="AK11" s="10"/>
    </row>
    <row r="12" customFormat="false" ht="12.8" hidden="false" customHeight="false" outlineLevel="0" collapsed="false">
      <c r="B12" s="1"/>
      <c r="C12" s="1"/>
      <c r="D12" s="1"/>
      <c r="E12" s="1"/>
      <c r="H12" s="1"/>
      <c r="I12" s="1"/>
      <c r="J12" s="1"/>
      <c r="K12" s="1"/>
      <c r="L12" s="1"/>
      <c r="M12" s="1" t="n">
        <v>23.5</v>
      </c>
      <c r="N12" s="2" t="n">
        <f aca="false">M12*2*PI()</f>
        <v>147.65485471872</v>
      </c>
      <c r="O12" s="3" t="n">
        <f aca="false">P12/2/PI()/M12*1000</f>
        <v>250.965957446809</v>
      </c>
      <c r="P12" s="2" t="n">
        <f aca="false">2*PI()*M12*N32/10^3 + 10*PI()</f>
        <v>37.056341986153</v>
      </c>
      <c r="Q12" s="4" t="n">
        <f aca="false">P12*$O$20/O12</f>
        <v>0.295309709437441</v>
      </c>
      <c r="R12" s="1" t="n">
        <v>27.3</v>
      </c>
      <c r="S12" s="1" t="n">
        <v>20.09</v>
      </c>
      <c r="T12" s="1" t="n">
        <f aca="false">1/$A$6*LN(R12/S12)</f>
        <v>6.06931983620779E-005</v>
      </c>
      <c r="U12" s="5" t="n">
        <f aca="false">$Q$20*SQRT(1/R12^2+1/S12^2)/$A$6</f>
        <v>6.11567873197571E-006</v>
      </c>
      <c r="V12" s="6" t="n">
        <f aca="false">P12/$A$6</f>
        <v>0.00733396837060444</v>
      </c>
      <c r="W12" s="6" t="n">
        <f aca="false">V12*Q12/P12</f>
        <v>5.84459218709681E-005</v>
      </c>
      <c r="X12" s="2" t="n">
        <f aca="false">N12^2</f>
        <v>21801.9561220064</v>
      </c>
      <c r="Y12" s="7" t="n">
        <f aca="false">V12^2-T12^2</f>
        <v>5.37834083966989E-005</v>
      </c>
      <c r="Z12" s="8" t="n">
        <f aca="false">SQRT((2*U12*T12)^2+(2*V12*W12)^2)</f>
        <v>8.57281406207328E-007</v>
      </c>
      <c r="AA12" s="4" t="n">
        <f aca="false">SQRT(M12)</f>
        <v>4.84767985741633</v>
      </c>
      <c r="AB12" s="2" t="n">
        <f aca="false">M12^(3/2)</f>
        <v>113.920476649284</v>
      </c>
      <c r="AC12" s="5" t="n">
        <f aca="false">T12*V12</f>
        <v>4.451219970983E-007</v>
      </c>
      <c r="AD12" s="5" t="n">
        <f aca="false">AC12*SQRT((U12/T12)^2+(W12/V12)^2)</f>
        <v>4.49922489448011E-008</v>
      </c>
      <c r="AE12" s="1"/>
      <c r="AF12" s="10"/>
      <c r="AG12" s="1"/>
      <c r="AH12" s="1"/>
      <c r="AI12" s="1"/>
    </row>
    <row r="13" customFormat="false" ht="12.8" hidden="false" customHeight="false" outlineLevel="0" collapsed="false">
      <c r="A13" s="11" t="s">
        <v>23</v>
      </c>
      <c r="B13" s="12" t="n">
        <v>1</v>
      </c>
      <c r="C13" s="12" t="n">
        <v>2</v>
      </c>
      <c r="D13" s="12" t="n">
        <v>3</v>
      </c>
      <c r="E13" s="12" t="n">
        <v>4</v>
      </c>
      <c r="F13" s="12" t="n">
        <v>5</v>
      </c>
      <c r="G13" s="12" t="n">
        <v>6</v>
      </c>
      <c r="H13" s="13" t="n">
        <v>7</v>
      </c>
      <c r="I13" s="1"/>
      <c r="J13" s="1"/>
      <c r="K13" s="1"/>
      <c r="L13" s="1"/>
      <c r="M13" s="1" t="n">
        <v>26</v>
      </c>
      <c r="N13" s="2" t="n">
        <f aca="false">M13*2*PI()</f>
        <v>163.362817986669</v>
      </c>
      <c r="O13" s="3" t="n">
        <f aca="false">P13/2/PI()/M13*1000</f>
        <v>251.369230769231</v>
      </c>
      <c r="P13" s="2" t="n">
        <f aca="false">2*PI()*M13*N33/10^3 + 12*PI()</f>
        <v>41.0643858936029</v>
      </c>
      <c r="Q13" s="4" t="n">
        <f aca="false">P13*$O$20/O13</f>
        <v>0.326725635973339</v>
      </c>
      <c r="R13" s="1" t="n">
        <v>26.81</v>
      </c>
      <c r="S13" s="1" t="n">
        <v>19.7</v>
      </c>
      <c r="T13" s="1" t="n">
        <f aca="false">1/$A$6*LN(R13/S13)</f>
        <v>6.09884450895413E-005</v>
      </c>
      <c r="U13" s="5" t="n">
        <f aca="false">$Q$20*SQRT(1/R13^2+1/S13^2)/$A$6</f>
        <v>6.23348608482388E-006</v>
      </c>
      <c r="V13" s="6" t="n">
        <f aca="false">P13/$A$6</f>
        <v>0.00812721631872126</v>
      </c>
      <c r="W13" s="6" t="n">
        <f aca="false">V13*Q13/P13</f>
        <v>6.46635731338371E-005</v>
      </c>
      <c r="X13" s="2" t="n">
        <f aca="false">N13^2</f>
        <v>26687.4103005456</v>
      </c>
      <c r="Y13" s="7" t="n">
        <f aca="false">V13^2-T13^2</f>
        <v>6.60479255008547E-005</v>
      </c>
      <c r="Z13" s="8" t="n">
        <f aca="false">SQRT((2*U13*T13)^2+(2*V13*W13)^2)</f>
        <v>1.05106996861476E-006</v>
      </c>
      <c r="AA13" s="4" t="n">
        <f aca="false">SQRT(M13)</f>
        <v>5.09901951359278</v>
      </c>
      <c r="AB13" s="2" t="n">
        <f aca="false">M13^(3/2)</f>
        <v>132.574507353412</v>
      </c>
      <c r="AC13" s="5" t="n">
        <f aca="false">T13*V13</f>
        <v>4.95666286185155E-007</v>
      </c>
      <c r="AD13" s="5" t="n">
        <f aca="false">AC13*SQRT((U13/T13)^2+(W13/V13)^2)</f>
        <v>5.0814159158046E-008</v>
      </c>
      <c r="AE13" s="1"/>
      <c r="AF13" s="1"/>
      <c r="AG13" s="1"/>
      <c r="AH13" s="1"/>
      <c r="AI13" s="1"/>
    </row>
    <row r="14" customFormat="false" ht="12.8" hidden="false" customHeight="false" outlineLevel="0" collapsed="false">
      <c r="A14" s="14" t="s">
        <v>24</v>
      </c>
      <c r="B14" s="1" t="n">
        <v>3.94</v>
      </c>
      <c r="C14" s="1" t="n">
        <v>7.9</v>
      </c>
      <c r="D14" s="1" t="n">
        <v>11.91</v>
      </c>
      <c r="E14" s="1" t="n">
        <v>15.89</v>
      </c>
      <c r="F14" s="1" t="n">
        <v>19.88</v>
      </c>
      <c r="G14" s="1" t="n">
        <v>23.89</v>
      </c>
      <c r="H14" s="15" t="n">
        <v>27.87</v>
      </c>
      <c r="L14" s="1"/>
      <c r="M14" s="1" t="n">
        <v>28.5</v>
      </c>
      <c r="N14" s="2" t="n">
        <f aca="false">M14*2*PI()</f>
        <v>179.070781254618</v>
      </c>
      <c r="O14" s="3" t="n">
        <f aca="false">P14/2/PI()/M14*1000</f>
        <v>251.414035087719</v>
      </c>
      <c r="P14" s="2" t="n">
        <f aca="false">2*PI()*M14*N34/10^3 + 14*PI()</f>
        <v>45.0209076815339</v>
      </c>
      <c r="Q14" s="4" t="n">
        <f aca="false">P14*$O$20/O14</f>
        <v>0.358141562509236</v>
      </c>
      <c r="R14" s="1" t="n">
        <v>26.96</v>
      </c>
      <c r="S14" s="1" t="n">
        <v>19.26</v>
      </c>
      <c r="T14" s="1" t="n">
        <f aca="false">1/$A$6*LN(R14/S14)</f>
        <v>6.65631998088402E-005</v>
      </c>
      <c r="U14" s="5" t="n">
        <f aca="false">$Q$20*SQRT(1/R14^2+1/S14^2)/$A$6</f>
        <v>6.31436667157726E-006</v>
      </c>
      <c r="V14" s="6" t="n">
        <f aca="false">P14/$A$6</f>
        <v>0.00891026731876697</v>
      </c>
      <c r="W14" s="6" t="n">
        <f aca="false">V14*Q14/P14</f>
        <v>7.0881224396706E-005</v>
      </c>
      <c r="X14" s="2" t="n">
        <f aca="false">N14^2</f>
        <v>32066.3446991393</v>
      </c>
      <c r="Y14" s="7" t="n">
        <f aca="false">V14^2-T14^2</f>
        <v>7.9388433032318E-005</v>
      </c>
      <c r="Z14" s="8" t="n">
        <f aca="false">SQRT((2*U14*T14)^2+(2*V14*W14)^2)</f>
        <v>1.26314159422102E-006</v>
      </c>
      <c r="AA14" s="4" t="n">
        <f aca="false">SQRT(M14)</f>
        <v>5.33853912601566</v>
      </c>
      <c r="AB14" s="2" t="n">
        <f aca="false">M14^(3/2)</f>
        <v>152.148365091446</v>
      </c>
      <c r="AC14" s="5" t="n">
        <f aca="false">T14*V14</f>
        <v>5.93095903889265E-007</v>
      </c>
      <c r="AD14" s="5" t="n">
        <f aca="false">AC14*SQRT((U14/T14)^2+(W14/V14)^2)</f>
        <v>5.6460173016936E-008</v>
      </c>
      <c r="AE14" s="1"/>
      <c r="AF14" s="1"/>
      <c r="AG14" s="1"/>
      <c r="AH14" s="1"/>
      <c r="AI14" s="1"/>
      <c r="AJ14" s="10"/>
      <c r="AK14" s="10"/>
      <c r="AP14" s="10"/>
      <c r="AQ14" s="16"/>
    </row>
    <row r="15" customFormat="false" ht="12.8" hidden="false" customHeight="false" outlineLevel="0" collapsed="false">
      <c r="A15" s="14" t="s">
        <v>25</v>
      </c>
      <c r="B15" s="1" t="n">
        <v>3.8</v>
      </c>
      <c r="C15" s="1" t="n">
        <v>8.02</v>
      </c>
      <c r="D15" s="1" t="n">
        <v>12.05</v>
      </c>
      <c r="E15" s="1" t="n">
        <v>16.01</v>
      </c>
      <c r="F15" s="1" t="n">
        <v>20.01</v>
      </c>
      <c r="G15" s="1" t="n">
        <v>23.99</v>
      </c>
      <c r="H15" s="17" t="n">
        <v>27.95</v>
      </c>
      <c r="L15" s="1"/>
      <c r="M15" s="1" t="n">
        <v>31</v>
      </c>
      <c r="N15" s="2" t="n">
        <f aca="false">M15*2*PI()</f>
        <v>194.778744522567</v>
      </c>
      <c r="O15" s="3" t="n">
        <f aca="false">P15/2/PI()/M15*1000</f>
        <v>251.206451612903</v>
      </c>
      <c r="P15" s="2" t="n">
        <f aca="false">2*PI()*M15*N35/10^3 + 14*PI()</f>
        <v>48.9296772611303</v>
      </c>
      <c r="Q15" s="4" t="n">
        <f aca="false">P15*$O$20/O15</f>
        <v>0.389557489045134</v>
      </c>
      <c r="R15" s="1" t="n">
        <v>26.9</v>
      </c>
      <c r="S15" s="1" t="n">
        <v>18.9</v>
      </c>
      <c r="T15" s="1" t="n">
        <f aca="false">1/$A$6*LN(R15/S15)</f>
        <v>6.98565845077279E-005</v>
      </c>
      <c r="U15" s="5" t="n">
        <f aca="false">$Q$20*SQRT(1/R15^2+1/S15^2)/$A$6</f>
        <v>6.39895554859299E-006</v>
      </c>
      <c r="V15" s="6" t="n">
        <f aca="false">P15/$A$6</f>
        <v>0.00968386748889313</v>
      </c>
      <c r="W15" s="6" t="n">
        <f aca="false">V15*Q15/P15</f>
        <v>7.7098875659575E-005</v>
      </c>
      <c r="X15" s="2" t="n">
        <f aca="false">N15^2</f>
        <v>37938.7593177875</v>
      </c>
      <c r="Y15" s="7" t="n">
        <f aca="false">V15^2-T15^2</f>
        <v>9.37724096000422E-005</v>
      </c>
      <c r="Z15" s="8" t="n">
        <f aca="false">SQRT((2*U15*T15)^2+(2*V15*W15)^2)</f>
        <v>1.49323085849066E-006</v>
      </c>
      <c r="AA15" s="4" t="n">
        <f aca="false">SQRT(M15)</f>
        <v>5.56776436283002</v>
      </c>
      <c r="AB15" s="2" t="n">
        <f aca="false">M15^(3/2)</f>
        <v>172.600695247731</v>
      </c>
      <c r="AC15" s="5" t="n">
        <f aca="false">T15*V15</f>
        <v>6.76481907599502E-007</v>
      </c>
      <c r="AD15" s="5" t="n">
        <f aca="false">AC15*SQRT((U15/T15)^2+(W15/V15)^2)</f>
        <v>6.22002548852283E-008</v>
      </c>
      <c r="AE15" s="1"/>
      <c r="AF15" s="1"/>
      <c r="AG15" s="1"/>
      <c r="AH15" s="1"/>
      <c r="AI15" s="1"/>
      <c r="AJ15" s="10"/>
      <c r="AK15" s="10"/>
      <c r="AL15" s="10"/>
    </row>
    <row r="16" customFormat="false" ht="12.8" hidden="false" customHeight="false" outlineLevel="0" collapsed="false">
      <c r="A16" s="14" t="s">
        <v>26</v>
      </c>
      <c r="B16" s="1" t="n">
        <v>3.97</v>
      </c>
      <c r="C16" s="1" t="n">
        <v>7.95</v>
      </c>
      <c r="D16" s="1" t="n">
        <v>11.94</v>
      </c>
      <c r="E16" s="1" t="n">
        <v>15.92</v>
      </c>
      <c r="F16" s="1" t="n">
        <v>19.91</v>
      </c>
      <c r="G16" s="1" t="n">
        <v>23.88</v>
      </c>
      <c r="H16" s="17" t="n">
        <v>27.84</v>
      </c>
      <c r="L16" s="1"/>
      <c r="M16" s="1" t="n">
        <v>33.5</v>
      </c>
      <c r="N16" s="2" t="n">
        <f aca="false">M16*2*PI()</f>
        <v>210.486707790516</v>
      </c>
      <c r="O16" s="3" t="n">
        <f aca="false">P16/2/PI()/M16*1000</f>
        <v>251.005970149254</v>
      </c>
      <c r="P16" s="2" t="n">
        <f aca="false">2*PI()*M16*N36/10^3 + 16*PI()</f>
        <v>52.833420292481</v>
      </c>
      <c r="Q16" s="4" t="n">
        <f aca="false">P16*$O$20/O16</f>
        <v>0.420973415581032</v>
      </c>
      <c r="R16" s="1" t="n">
        <v>26.8</v>
      </c>
      <c r="S16" s="1" t="n">
        <v>18.54</v>
      </c>
      <c r="T16" s="1" t="n">
        <f aca="false">1/$A$6*LN(R16/S16)</f>
        <v>7.29256293425499E-005</v>
      </c>
      <c r="U16" s="5" t="n">
        <f aca="false">$Q$20*SQRT(1/R16^2+1/S16^2)/$A$6</f>
        <v>6.49020506062622E-006</v>
      </c>
      <c r="V16" s="6" t="n">
        <f aca="false">P16/$A$6</f>
        <v>0.0104564728348172</v>
      </c>
      <c r="W16" s="6" t="n">
        <f aca="false">V16*Q16/P16</f>
        <v>8.33165269224439E-005</v>
      </c>
      <c r="X16" s="2" t="n">
        <f aca="false">N16^2</f>
        <v>44304.6541564901</v>
      </c>
      <c r="Y16" s="7" t="n">
        <f aca="false">V16^2-T16^2</f>
        <v>0.000109332505997856</v>
      </c>
      <c r="Z16" s="8" t="n">
        <f aca="false">SQRT((2*U16*T16)^2+(2*V16*W16)^2)</f>
        <v>1.74239425804647E-006</v>
      </c>
      <c r="AA16" s="4" t="n">
        <f aca="false">SQRT(M16)</f>
        <v>5.78791845139511</v>
      </c>
      <c r="AB16" s="2" t="n">
        <f aca="false">M16^(3/2)</f>
        <v>193.895268121736</v>
      </c>
      <c r="AC16" s="5" t="n">
        <f aca="false">T16*V16</f>
        <v>7.62544862182323E-007</v>
      </c>
      <c r="AD16" s="5" t="n">
        <f aca="false">AC16*SQRT((U16/T16)^2+(W16/V16)^2)</f>
        <v>6.81360976187664E-008</v>
      </c>
      <c r="AE16" s="1"/>
      <c r="AF16" s="1"/>
      <c r="AG16" s="1"/>
      <c r="AH16" s="1"/>
      <c r="AI16" s="1"/>
      <c r="AJ16" s="10"/>
      <c r="AK16" s="10"/>
      <c r="AL16" s="10"/>
      <c r="AP16" s="9"/>
    </row>
    <row r="17" customFormat="false" ht="12.8" hidden="false" customHeight="false" outlineLevel="0" collapsed="false">
      <c r="A17" s="18" t="s">
        <v>27</v>
      </c>
      <c r="B17" s="19" t="n">
        <v>3.98</v>
      </c>
      <c r="C17" s="19" t="n">
        <v>7.94</v>
      </c>
      <c r="D17" s="19" t="n">
        <v>11.9</v>
      </c>
      <c r="E17" s="19" t="n">
        <v>15.87</v>
      </c>
      <c r="F17" s="19" t="n">
        <v>19.85</v>
      </c>
      <c r="G17" s="19" t="n">
        <v>23.82</v>
      </c>
      <c r="H17" s="20" t="n">
        <v>27.77</v>
      </c>
      <c r="L17" s="1"/>
      <c r="M17" s="1" t="n">
        <v>36</v>
      </c>
      <c r="N17" s="2" t="n">
        <f aca="false">M17*2*PI()</f>
        <v>226.194671058465</v>
      </c>
      <c r="O17" s="3" t="n">
        <f aca="false">P17/2/PI()/M17*1000</f>
        <v>250.8</v>
      </c>
      <c r="P17" s="2" t="n">
        <f aca="false">2*PI()*M17*N37/10^3 + 18*PI()</f>
        <v>56.729623501463</v>
      </c>
      <c r="Q17" s="4" t="n">
        <f aca="false">P17*$O$20/O17</f>
        <v>0.45238934211693</v>
      </c>
      <c r="R17" s="1" t="n">
        <v>26.4</v>
      </c>
      <c r="S17" s="1" t="n">
        <v>18.08</v>
      </c>
      <c r="T17" s="1" t="n">
        <f aca="false">1/$A$6*LN(R17/S17)</f>
        <v>7.49218546892236E-005</v>
      </c>
      <c r="U17" s="5" t="n">
        <f aca="false">$Q$20*SQRT(1/R17^2+1/S17^2)/$A$6</f>
        <v>6.63378729135704E-006</v>
      </c>
      <c r="V17" s="6" t="n">
        <f aca="false">P17/$A$6</f>
        <v>0.0112275859444382</v>
      </c>
      <c r="W17" s="6" t="n">
        <f aca="false">V17*Q17/P17</f>
        <v>8.95341781853128E-005</v>
      </c>
      <c r="X17" s="2" t="n">
        <f aca="false">N17^2</f>
        <v>51164.0292152472</v>
      </c>
      <c r="Y17" s="7" t="n">
        <f aca="false">V17^2-T17^2</f>
        <v>0.000126053072855437</v>
      </c>
      <c r="Z17" s="8" t="n">
        <f aca="false">SQRT((2*U17*T17)^2+(2*V17*W17)^2)</f>
        <v>2.01050560681427E-006</v>
      </c>
      <c r="AA17" s="4" t="n">
        <f aca="false">SQRT(M17)</f>
        <v>6</v>
      </c>
      <c r="AB17" s="2" t="n">
        <f aca="false">M17^(3/2)</f>
        <v>216</v>
      </c>
      <c r="AC17" s="5" t="n">
        <f aca="false">T17*V17</f>
        <v>8.4119156263997E-007</v>
      </c>
      <c r="AD17" s="5" t="n">
        <f aca="false">AC17*SQRT((U17/T17)^2+(W17/V17)^2)</f>
        <v>7.47828832667661E-008</v>
      </c>
      <c r="AE17" s="1"/>
      <c r="AF17" s="1"/>
      <c r="AG17" s="1"/>
      <c r="AH17" s="1"/>
      <c r="AI17" s="1"/>
      <c r="AJ17" s="10"/>
      <c r="AK17" s="10"/>
      <c r="AL17" s="10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J18" s="1"/>
      <c r="K18" s="1"/>
      <c r="L18" s="1"/>
      <c r="M18" s="1" t="n">
        <v>38.5</v>
      </c>
      <c r="N18" s="2" t="n">
        <f aca="false">M18*2*PI()</f>
        <v>241.902634326414</v>
      </c>
      <c r="O18" s="3" t="n">
        <f aca="false">P18/2/PI()/M18*1000</f>
        <v>250.866233766234</v>
      </c>
      <c r="P18" s="2" t="n">
        <f aca="false">2*PI()*M18*N38/10^3 + 18*PI()</f>
        <v>60.685202811598</v>
      </c>
      <c r="Q18" s="4" t="n">
        <f aca="false">P18*$O$20/O18</f>
        <v>0.483805268652828</v>
      </c>
      <c r="R18" s="1" t="n">
        <v>26.2</v>
      </c>
      <c r="S18" s="1" t="n">
        <v>17.5</v>
      </c>
      <c r="T18" s="1" t="n">
        <f aca="false">1/$A$6*LN(R18/S18)</f>
        <v>7.98698774590977E-005</v>
      </c>
      <c r="U18" s="5" t="n">
        <f aca="false">$Q$20*SQRT(1/R18^2+1/S18^2)/$A$6</f>
        <v>6.80007925902672E-006</v>
      </c>
      <c r="V18" s="6" t="n">
        <f aca="false">P18/$A$6</f>
        <v>0.0120104504149461</v>
      </c>
      <c r="W18" s="6" t="n">
        <f aca="false">V18*Q18/P18</f>
        <v>9.57518294481818E-005</v>
      </c>
      <c r="X18" s="2" t="n">
        <f aca="false">N18^2</f>
        <v>58516.8844940588</v>
      </c>
      <c r="Y18" s="7" t="n">
        <f aca="false">V18^2-T18^2</f>
        <v>0.000144244539972553</v>
      </c>
      <c r="Z18" s="8" t="n">
        <f aca="false">SQRT((2*U18*T18)^2+(2*V18*W18)^2)</f>
        <v>2.30004545595565E-006</v>
      </c>
      <c r="AA18" s="4" t="n">
        <f aca="false">SQRT(M18)</f>
        <v>6.20483682299543</v>
      </c>
      <c r="AB18" s="2" t="n">
        <f aca="false">M18^(3/2)</f>
        <v>238.886217685324</v>
      </c>
      <c r="AC18" s="5" t="n">
        <f aca="false">T18*V18</f>
        <v>9.59273202870311E-007</v>
      </c>
      <c r="AD18" s="5" t="n">
        <f aca="false">AC18*SQRT((U18/T18)^2+(W18/V18)^2)</f>
        <v>8.2029294214654E-008</v>
      </c>
      <c r="AE18" s="1"/>
      <c r="AF18" s="1"/>
      <c r="AG18" s="1"/>
      <c r="AH18" s="1"/>
      <c r="AI18" s="1"/>
      <c r="AP18" s="10"/>
      <c r="AQ18" s="10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J19" s="1"/>
      <c r="K19" s="1"/>
      <c r="L19" s="1"/>
      <c r="M19" s="1"/>
      <c r="N19" s="1"/>
      <c r="O19" s="1"/>
      <c r="T19" s="4"/>
      <c r="U19" s="4"/>
      <c r="V19" s="4"/>
      <c r="W19" s="4"/>
      <c r="X19" s="4"/>
      <c r="Y19" s="4"/>
      <c r="Z19" s="4"/>
      <c r="AA19" s="4"/>
      <c r="AB19" s="4"/>
      <c r="AD19" s="1"/>
      <c r="AE19" s="1"/>
      <c r="AF19" s="1"/>
      <c r="AG19" s="1"/>
      <c r="AH19" s="1"/>
      <c r="AI19" s="1"/>
      <c r="AP19" s="9"/>
      <c r="AQ19" s="9"/>
      <c r="AR19" s="9"/>
    </row>
    <row r="20" customFormat="false" ht="12.8" hidden="false" customHeight="false" outlineLevel="0" collapsed="false">
      <c r="A20" s="1" t="s">
        <v>28</v>
      </c>
      <c r="B20" s="1" t="s">
        <v>29</v>
      </c>
      <c r="C20" s="1" t="s">
        <v>30</v>
      </c>
      <c r="D20" s="1" t="s">
        <v>31</v>
      </c>
      <c r="E20" s="1" t="s">
        <v>32</v>
      </c>
      <c r="F20" s="1"/>
      <c r="G20" s="1" t="s">
        <v>33</v>
      </c>
      <c r="H20" s="1"/>
      <c r="I20" s="1"/>
      <c r="J20" s="1"/>
      <c r="K20" s="1"/>
      <c r="L20" s="1" t="s">
        <v>34</v>
      </c>
      <c r="M20" s="1"/>
      <c r="O20" s="1" t="n">
        <v>2</v>
      </c>
      <c r="Q20" s="1" t="n">
        <f aca="false">0.5</f>
        <v>0.5</v>
      </c>
      <c r="R20" s="1" t="n">
        <f aca="false">0.5</f>
        <v>0.5</v>
      </c>
      <c r="T20" s="4"/>
      <c r="U20" s="4"/>
      <c r="V20" s="4"/>
      <c r="W20" s="4"/>
      <c r="X20" s="4"/>
      <c r="Y20" s="4"/>
      <c r="Z20" s="4"/>
      <c r="AA20" s="4"/>
      <c r="AB20" s="4"/>
      <c r="AD20" s="1"/>
      <c r="AE20" s="1"/>
      <c r="AF20" s="1"/>
      <c r="AG20" s="1"/>
      <c r="AH20" s="1"/>
      <c r="AI20" s="1"/>
    </row>
    <row r="21" customFormat="false" ht="12.8" hidden="false" customHeight="false" outlineLevel="0" collapsed="false">
      <c r="A21" s="1" t="n">
        <v>3.9907</v>
      </c>
      <c r="B21" s="9" t="n">
        <v>0.0019</v>
      </c>
      <c r="C21" s="21" t="n">
        <f aca="false">B21/A21*100</f>
        <v>0.0476106948655624</v>
      </c>
      <c r="D21" s="22" t="n">
        <f aca="false">A21*$A$6*10^6</f>
        <v>20163809890</v>
      </c>
      <c r="E21" s="22" t="n">
        <f aca="false">D21*B21/A21</f>
        <v>9600130</v>
      </c>
      <c r="F21" s="21" t="n">
        <f aca="false">E21/D21*100</f>
        <v>0.0476106948655624</v>
      </c>
      <c r="G21" s="1" t="n">
        <f aca="false">1/E21^2</f>
        <v>1.08504005774391E-014</v>
      </c>
      <c r="H21" s="1"/>
      <c r="I21" s="1"/>
      <c r="J21" s="1"/>
      <c r="K21" s="1"/>
      <c r="L21" s="1"/>
      <c r="M21" s="1"/>
      <c r="N21" s="1"/>
      <c r="O21" s="1"/>
      <c r="T21" s="4"/>
      <c r="U21" s="4"/>
      <c r="V21" s="4"/>
      <c r="W21" s="4"/>
      <c r="X21" s="4"/>
      <c r="Y21" s="4"/>
      <c r="Z21" s="4"/>
      <c r="AA21" s="4"/>
      <c r="AB21" s="4"/>
      <c r="AD21" s="1"/>
      <c r="AE21" s="1"/>
      <c r="AF21" s="1"/>
      <c r="AG21" s="1"/>
      <c r="AH21" s="1"/>
      <c r="AI21" s="1"/>
    </row>
    <row r="22" customFormat="false" ht="12.8" hidden="false" customHeight="false" outlineLevel="0" collapsed="false">
      <c r="A22" s="9" t="n">
        <v>4.0125</v>
      </c>
      <c r="B22" s="9" t="n">
        <v>0.0019</v>
      </c>
      <c r="C22" s="21" t="n">
        <f aca="false">B22/A22*100</f>
        <v>0.0473520249221184</v>
      </c>
      <c r="D22" s="22" t="n">
        <f aca="false">A22*$A$6*10^6</f>
        <v>20273958750</v>
      </c>
      <c r="E22" s="22" t="n">
        <f aca="false">D22*B22/A22</f>
        <v>9600130</v>
      </c>
      <c r="F22" s="21" t="n">
        <f aca="false">E22/D22*100</f>
        <v>0.0473520249221184</v>
      </c>
      <c r="G22" s="1" t="n">
        <f aca="false">1/E22^2</f>
        <v>1.08504005774391E-014</v>
      </c>
      <c r="H22" s="1"/>
      <c r="I22" s="1"/>
      <c r="AD22" s="1"/>
      <c r="AF22" s="23"/>
      <c r="AH22" s="10"/>
      <c r="AI22" s="10"/>
    </row>
    <row r="23" customFormat="false" ht="12.8" hidden="false" customHeight="false" outlineLevel="0" collapsed="false">
      <c r="A23" s="9" t="n">
        <v>3.98</v>
      </c>
      <c r="B23" s="9" t="n">
        <v>0.0019</v>
      </c>
      <c r="C23" s="21" t="n">
        <f aca="false">B23/A23*100</f>
        <v>0.0477386934673367</v>
      </c>
      <c r="D23" s="22" t="n">
        <f aca="false">A23*$A$6*10^6</f>
        <v>20109746000</v>
      </c>
      <c r="E23" s="22" t="n">
        <f aca="false">D23*B23/A23</f>
        <v>9600130</v>
      </c>
      <c r="F23" s="21" t="n">
        <f aca="false">E23/D23*100</f>
        <v>0.0477386934673367</v>
      </c>
      <c r="G23" s="1"/>
      <c r="H23" s="1"/>
      <c r="I23" s="1"/>
      <c r="N23" s="1" t="n">
        <v>252</v>
      </c>
      <c r="AD23" s="1"/>
    </row>
    <row r="24" customFormat="false" ht="12.8" hidden="false" customHeight="false" outlineLevel="0" collapsed="false">
      <c r="A24" s="9" t="n">
        <v>3.9671</v>
      </c>
      <c r="B24" s="9" t="n">
        <v>0.0019</v>
      </c>
      <c r="C24" s="21" t="n">
        <f aca="false">B24/A24*100</f>
        <v>0.0478939275541327</v>
      </c>
      <c r="D24" s="22" t="n">
        <f aca="false">A24*$A$6*10^6</f>
        <v>20044566170</v>
      </c>
      <c r="E24" s="22" t="n">
        <f aca="false">D24*B24/A24</f>
        <v>9600130</v>
      </c>
      <c r="F24" s="21" t="n">
        <f aca="false">E24/D24*100</f>
        <v>0.0478939275541327</v>
      </c>
      <c r="G24" s="1"/>
      <c r="H24" s="1"/>
      <c r="I24" s="1"/>
      <c r="K24" s="1"/>
      <c r="N24" s="1" t="n">
        <v>254</v>
      </c>
      <c r="T24" s="1" t="s">
        <v>35</v>
      </c>
    </row>
    <row r="25" customFormat="false" ht="23.85" hidden="false" customHeight="false" outlineLevel="0" collapsed="false">
      <c r="B25" s="1"/>
      <c r="C25" s="1"/>
      <c r="D25" s="1"/>
      <c r="E25" s="1"/>
      <c r="F25" s="1"/>
      <c r="G25" s="1"/>
      <c r="H25" s="1"/>
      <c r="I25" s="1"/>
      <c r="K25" s="1"/>
      <c r="L25" s="1"/>
      <c r="M25" s="1"/>
      <c r="N25" s="1" t="n">
        <v>86</v>
      </c>
      <c r="T25" s="24" t="n">
        <v>2.48E-021</v>
      </c>
      <c r="U25" s="24" t="n">
        <v>1.11E-023</v>
      </c>
      <c r="V25" s="25" t="n">
        <f aca="false">U25/T25*100</f>
        <v>0.44758064516129</v>
      </c>
      <c r="X25" s="1" t="s">
        <v>36</v>
      </c>
      <c r="AA25" s="1" t="s">
        <v>37</v>
      </c>
      <c r="AD25" s="9" t="s">
        <v>38</v>
      </c>
    </row>
    <row r="26" customFormat="false" ht="12.8" hidden="false" customHeight="false" outlineLevel="0" collapsed="false">
      <c r="B26" s="1"/>
      <c r="C26" s="1"/>
      <c r="D26" s="1"/>
      <c r="E26" s="1"/>
      <c r="F26" s="1"/>
      <c r="G26" s="1"/>
      <c r="H26" s="1"/>
      <c r="I26" s="1"/>
      <c r="N26" s="1" t="n">
        <v>17.6</v>
      </c>
      <c r="X26" s="1" t="n">
        <v>50</v>
      </c>
      <c r="Y26" s="8" t="n">
        <v>5.56325014865E-011</v>
      </c>
      <c r="AA26" s="24" t="n">
        <v>1.24E-008</v>
      </c>
      <c r="AB26" s="24" t="n">
        <v>3.51E-010</v>
      </c>
      <c r="AC26" s="26" t="n">
        <f aca="false">AB26/AA26*100</f>
        <v>2.83064516129032</v>
      </c>
      <c r="AD26" s="24" t="n">
        <v>3.86E-018</v>
      </c>
      <c r="AE26" s="24" t="n">
        <v>1.18E-019</v>
      </c>
      <c r="AF26" s="2" t="n">
        <f aca="false">AE26/AD26*100</f>
        <v>3.05699481865285</v>
      </c>
    </row>
    <row r="27" customFormat="false" ht="12.8" hidden="false" customHeight="false" outlineLevel="0" collapsed="false">
      <c r="K27" s="1"/>
      <c r="N27" s="1" t="n">
        <v>70.4</v>
      </c>
      <c r="T27" s="1" t="s">
        <v>39</v>
      </c>
      <c r="AD27" s="1"/>
      <c r="AE27" s="1"/>
    </row>
    <row r="28" customFormat="false" ht="12.8" hidden="false" customHeight="false" outlineLevel="0" collapsed="false">
      <c r="K28" s="1"/>
      <c r="L28" s="1"/>
      <c r="M28" s="1"/>
      <c r="N28" s="1" t="n">
        <v>70.4</v>
      </c>
      <c r="T28" s="1" t="n">
        <f aca="false">T25*(3*10^10)^2</f>
        <v>2.232</v>
      </c>
      <c r="U28" s="27" t="n">
        <v>0.009952965</v>
      </c>
      <c r="V28" s="1" t="n">
        <f aca="false">U28/T28*100</f>
        <v>0.445921370967742</v>
      </c>
      <c r="AD28" s="1"/>
      <c r="AE28" s="1"/>
      <c r="AH28" s="10"/>
    </row>
    <row r="29" customFormat="false" ht="12.8" hidden="false" customHeight="false" outlineLevel="0" collapsed="false">
      <c r="N29" s="1" t="n">
        <v>1.6</v>
      </c>
      <c r="AD29" s="1"/>
      <c r="AE29" s="1"/>
      <c r="AH29" s="10"/>
      <c r="AI29" s="10"/>
      <c r="AJ29" s="10"/>
    </row>
    <row r="30" customFormat="false" ht="12.65" hidden="false" customHeight="true" outlineLevel="0" collapsed="false">
      <c r="N30" s="1" t="n">
        <v>35.2</v>
      </c>
      <c r="T30" s="28" t="s">
        <v>40</v>
      </c>
      <c r="U30" s="2"/>
      <c r="V30" s="2"/>
      <c r="AD30" s="1" t="s">
        <v>41</v>
      </c>
      <c r="AE30" s="1"/>
    </row>
    <row r="31" customFormat="false" ht="12.8" hidden="false" customHeight="false" outlineLevel="0" collapsed="false">
      <c r="N31" s="1" t="n">
        <v>35.2</v>
      </c>
      <c r="T31" s="28" t="n">
        <f aca="false">Y26*SQRT(T28)*3*10^10</f>
        <v>2.49342860841078</v>
      </c>
      <c r="U31" s="2" t="n">
        <f aca="false">1/2*T31*V25/100</f>
        <v>0.00558005192608058</v>
      </c>
      <c r="V31" s="2" t="n">
        <f aca="false">U31/T31*100</f>
        <v>0.223790322580645</v>
      </c>
      <c r="W31" s="5"/>
      <c r="X31" s="5"/>
      <c r="AD31" s="1" t="n">
        <f aca="false">(4*PI()*T34/C6/3/10^10/AD26)^2</f>
        <v>5.02754514866584E+017</v>
      </c>
      <c r="AE31" s="1" t="n">
        <f aca="false">2*AD31*SQRT(V34^2+C4^2+AF26^2)/100</f>
        <v>34137146374579400</v>
      </c>
      <c r="AF31" s="2" t="n">
        <f aca="false">AE31/AD31*100</f>
        <v>6.79002283721676</v>
      </c>
      <c r="AH31" s="10"/>
    </row>
    <row r="32" customFormat="false" ht="12.8" hidden="false" customHeight="false" outlineLevel="0" collapsed="false">
      <c r="N32" s="1" t="n">
        <v>38.2</v>
      </c>
      <c r="T32" s="28"/>
      <c r="U32" s="2"/>
      <c r="V32" s="2"/>
      <c r="X32" s="5"/>
      <c r="AD32" s="1"/>
      <c r="AE32" s="1"/>
      <c r="AH32" s="10"/>
    </row>
    <row r="33" customFormat="false" ht="12.8" hidden="false" customHeight="false" outlineLevel="0" collapsed="false">
      <c r="N33" s="1" t="n">
        <v>20.6</v>
      </c>
      <c r="P33" s="1"/>
      <c r="Q33" s="1"/>
      <c r="T33" s="28" t="s">
        <v>42</v>
      </c>
      <c r="U33" s="2"/>
      <c r="V33" s="2"/>
      <c r="W33" s="1"/>
      <c r="X33" s="22"/>
      <c r="AD33" s="1"/>
      <c r="AE33" s="1"/>
    </row>
    <row r="34" customFormat="false" ht="12.8" hidden="false" customHeight="false" outlineLevel="0" collapsed="false">
      <c r="N34" s="1" t="n">
        <v>5.8</v>
      </c>
      <c r="P34" s="1"/>
      <c r="Q34" s="1"/>
      <c r="T34" s="29" t="n">
        <f aca="false">SQRT(T28)/3/Y26/10^10</f>
        <v>0.89515296025363</v>
      </c>
      <c r="U34" s="2" t="n">
        <f aca="false">T34*V28/2/100</f>
        <v>0.00199583917631066</v>
      </c>
      <c r="V34" s="2" t="n">
        <f aca="false">U34/T34*100</f>
        <v>0.222960685483871</v>
      </c>
      <c r="W34" s="30"/>
      <c r="X34" s="22"/>
      <c r="AD34" s="1"/>
      <c r="AE34" s="1"/>
    </row>
    <row r="35" customFormat="false" ht="12.8" hidden="false" customHeight="false" outlineLevel="0" collapsed="false">
      <c r="A35" s="1"/>
      <c r="L35" s="1"/>
      <c r="M35" s="1"/>
      <c r="N35" s="1" t="n">
        <v>25.4</v>
      </c>
      <c r="P35" s="1"/>
      <c r="Q35" s="1"/>
      <c r="T35" s="31"/>
      <c r="U35" s="2"/>
      <c r="V35" s="2"/>
      <c r="W35" s="1"/>
      <c r="X35" s="1"/>
      <c r="AD35" s="1"/>
      <c r="AE35" s="1"/>
    </row>
    <row r="36" customFormat="false" ht="12.8" hidden="false" customHeight="false" outlineLevel="0" collapsed="false">
      <c r="A36" s="1"/>
      <c r="B36" s="1"/>
      <c r="C36" s="1"/>
      <c r="E36" s="1" t="s">
        <v>4</v>
      </c>
      <c r="F36" s="1" t="s">
        <v>6</v>
      </c>
      <c r="G36" s="1" t="s">
        <v>7</v>
      </c>
      <c r="H36" s="1" t="s">
        <v>8</v>
      </c>
      <c r="I36" s="1" t="s">
        <v>9</v>
      </c>
      <c r="J36" s="1" t="s">
        <v>10</v>
      </c>
      <c r="L36" s="1"/>
      <c r="M36" s="1"/>
      <c r="N36" s="1" t="n">
        <v>12.2</v>
      </c>
      <c r="P36" s="1"/>
      <c r="Q36" s="1"/>
      <c r="T36" s="29" t="s">
        <v>43</v>
      </c>
      <c r="U36" s="2"/>
      <c r="V36" s="2"/>
      <c r="W36" s="1"/>
      <c r="X36" s="1"/>
      <c r="AA36" s="1" t="s">
        <v>18</v>
      </c>
      <c r="AB36" s="1" t="s">
        <v>44</v>
      </c>
      <c r="AC36" s="1" t="s">
        <v>45</v>
      </c>
      <c r="AD36" s="1"/>
      <c r="AE36" s="1"/>
    </row>
    <row r="37" customFormat="false" ht="12.8" hidden="false" customHeight="false" outlineLevel="0" collapsed="false">
      <c r="A37" s="1"/>
      <c r="B37" s="1"/>
      <c r="C37" s="1"/>
      <c r="D37" s="1"/>
      <c r="E37" s="1" t="n">
        <v>1</v>
      </c>
      <c r="F37" s="3" t="n">
        <v>252</v>
      </c>
      <c r="G37" s="2" t="n">
        <v>1.58336269740926</v>
      </c>
      <c r="H37" s="10" t="n">
        <v>0.0125663706143592</v>
      </c>
      <c r="I37" s="1" t="n">
        <v>27.2</v>
      </c>
      <c r="J37" s="1" t="n">
        <v>25.2</v>
      </c>
      <c r="K37" s="1"/>
      <c r="L37" s="1"/>
      <c r="M37" s="1"/>
      <c r="N37" s="1" t="n">
        <v>0.8</v>
      </c>
      <c r="P37" s="1"/>
      <c r="Q37" s="1"/>
      <c r="T37" s="29" t="n">
        <f aca="false">T31/2/LN(B2/C2)</f>
        <v>1.02928286518825</v>
      </c>
      <c r="U37" s="2" t="n">
        <f aca="false">SQRT((U31/2/LN(B2/C2))^2+(T31/2/(LN(B2/C2))^2)^2*((B3/B2)^2+(C3/C2)^2))</f>
        <v>0.0223710479608613</v>
      </c>
      <c r="V37" s="2" t="n">
        <f aca="false">U37/T37*100</f>
        <v>2.17345966958944</v>
      </c>
      <c r="W37" s="1"/>
      <c r="X37" s="1"/>
      <c r="AA37" s="10" t="n">
        <v>1</v>
      </c>
      <c r="AB37" s="10" t="n">
        <v>1.51152806983541E-005</v>
      </c>
      <c r="AC37" s="10" t="n">
        <v>5.35315037911121E-006</v>
      </c>
      <c r="AD37" s="1"/>
      <c r="AE37" s="1"/>
    </row>
    <row r="38" customFormat="false" ht="12.8" hidden="false" customHeight="false" outlineLevel="0" collapsed="false">
      <c r="C38" s="1"/>
      <c r="D38" s="1"/>
      <c r="E38" s="1" t="n">
        <v>3.5</v>
      </c>
      <c r="F38" s="3" t="n">
        <v>254</v>
      </c>
      <c r="G38" s="2" t="n">
        <v>5.58575173808265</v>
      </c>
      <c r="H38" s="10" t="n">
        <v>0.0439822971502571</v>
      </c>
      <c r="I38" s="1" t="n">
        <v>26.8</v>
      </c>
      <c r="J38" s="1" t="n">
        <v>24.2</v>
      </c>
      <c r="K38" s="1"/>
      <c r="L38" s="1"/>
      <c r="M38" s="1"/>
      <c r="N38" s="1" t="n">
        <v>17.1</v>
      </c>
      <c r="P38" s="1"/>
      <c r="Q38" s="1"/>
      <c r="T38" s="31"/>
      <c r="U38" s="2"/>
      <c r="V38" s="2"/>
      <c r="W38" s="1"/>
      <c r="X38" s="1"/>
      <c r="AA38" s="10" t="n">
        <v>1.87082869338697</v>
      </c>
      <c r="AB38" s="10" t="n">
        <v>2.01969747568964E-005</v>
      </c>
      <c r="AC38" s="10" t="n">
        <v>5.50953749655472E-006</v>
      </c>
      <c r="AD38" s="1"/>
      <c r="AE38" s="1"/>
    </row>
    <row r="39" customFormat="false" ht="12.8" hidden="false" customHeight="false" outlineLevel="0" collapsed="false">
      <c r="B39" s="1"/>
      <c r="C39" s="1"/>
      <c r="D39" s="1"/>
      <c r="E39" s="1" t="n">
        <v>6</v>
      </c>
      <c r="F39" s="3" t="n">
        <v>252.666666666667</v>
      </c>
      <c r="G39" s="2" t="n">
        <v>9.52530892568425</v>
      </c>
      <c r="H39" s="10" t="n">
        <v>0.075398223686155</v>
      </c>
      <c r="I39" s="10" t="n">
        <v>26.8</v>
      </c>
      <c r="J39" s="1" t="n">
        <v>23.6</v>
      </c>
      <c r="K39" s="1"/>
      <c r="P39" s="1"/>
      <c r="Q39" s="1"/>
      <c r="T39" s="29" t="s">
        <v>46</v>
      </c>
      <c r="U39" s="2"/>
      <c r="V39" s="2"/>
      <c r="W39" s="1"/>
      <c r="X39" s="1"/>
      <c r="AA39" s="10" t="n">
        <v>2.44948974278318</v>
      </c>
      <c r="AB39" s="10" t="n">
        <v>2.51657876947467E-005</v>
      </c>
      <c r="AC39" s="10" t="n">
        <v>5.58713089677742E-006</v>
      </c>
      <c r="AD39" s="1"/>
      <c r="AE39" s="1"/>
    </row>
    <row r="40" customFormat="false" ht="12.8" hidden="false" customHeight="false" outlineLevel="0" collapsed="false">
      <c r="B40" s="1"/>
      <c r="C40" s="1"/>
      <c r="D40" s="1"/>
      <c r="E40" s="1" t="n">
        <v>8.5</v>
      </c>
      <c r="F40" s="3" t="n">
        <v>252.894117647059</v>
      </c>
      <c r="G40" s="2" t="n">
        <v>13.5063351363132</v>
      </c>
      <c r="H40" s="10" t="n">
        <v>0.106814150222053</v>
      </c>
      <c r="I40" s="10" t="n">
        <v>26.8</v>
      </c>
      <c r="J40" s="1" t="n">
        <v>22.44</v>
      </c>
      <c r="K40" s="1"/>
      <c r="P40" s="1"/>
      <c r="Q40" s="1"/>
      <c r="T40" s="29" t="n">
        <f aca="false">T34*2*LN(B2/C2)</f>
        <v>2.16850010379973</v>
      </c>
      <c r="U40" s="2" t="n">
        <f aca="false">SQRT((U34*2*LN(B2/C2))^2 + (T34*2)^2*((B3/B2)^2+(C3/C2)^2))</f>
        <v>0.0471296261775631</v>
      </c>
      <c r="V40" s="2" t="n">
        <f aca="false">U40/T40*100</f>
        <v>2.17337440265651</v>
      </c>
      <c r="W40" s="1"/>
      <c r="X40" s="1"/>
      <c r="AA40" s="10" t="n">
        <v>2.91547594742265</v>
      </c>
      <c r="AB40" s="10" t="n">
        <v>3.51409754907902E-005</v>
      </c>
      <c r="AC40" s="10" t="n">
        <v>5.75158798156951E-006</v>
      </c>
      <c r="AD40" s="1"/>
      <c r="AE40" s="1"/>
    </row>
    <row r="41" customFormat="false" ht="12.8" hidden="false" customHeight="false" outlineLevel="0" collapsed="false">
      <c r="C41" s="1"/>
      <c r="D41" s="1"/>
      <c r="E41" s="1" t="n">
        <v>11</v>
      </c>
      <c r="F41" s="3" t="n">
        <v>252.218181818182</v>
      </c>
      <c r="G41" s="2" t="n">
        <v>17.432069316239</v>
      </c>
      <c r="H41" s="10" t="n">
        <v>0.138230076757951</v>
      </c>
      <c r="I41" s="10" t="n">
        <v>27.26</v>
      </c>
      <c r="J41" s="1" t="n">
        <v>22.04</v>
      </c>
      <c r="K41" s="1"/>
      <c r="P41" s="1"/>
      <c r="Q41" s="1"/>
      <c r="AA41" s="10" t="n">
        <v>3.3166247903554</v>
      </c>
      <c r="AB41" s="10" t="n">
        <v>4.20688823764864E-005</v>
      </c>
      <c r="AC41" s="10" t="n">
        <v>5.77380190154599E-006</v>
      </c>
      <c r="AD41" s="1"/>
      <c r="AE41" s="1"/>
    </row>
    <row r="42" customFormat="false" ht="12.8" hidden="false" customHeight="false" outlineLevel="0" collapsed="false">
      <c r="B42" s="1"/>
      <c r="C42" s="1"/>
      <c r="D42" s="1"/>
      <c r="E42" s="1" t="n">
        <v>13.5</v>
      </c>
      <c r="F42" s="3" t="n">
        <v>292.622222222222</v>
      </c>
      <c r="G42" s="2" t="n">
        <v>24.8210952374822</v>
      </c>
      <c r="H42" s="1" t="n">
        <v>0.169646003293849</v>
      </c>
      <c r="I42" s="10" t="n">
        <v>27.26</v>
      </c>
      <c r="J42" s="1" t="n">
        <v>21.67</v>
      </c>
      <c r="K42" s="1"/>
      <c r="N42" s="1"/>
      <c r="O42" s="1"/>
      <c r="P42" s="1"/>
      <c r="Q42" s="1"/>
      <c r="R42" s="1"/>
      <c r="S42" s="1"/>
      <c r="T42" s="28" t="s">
        <v>47</v>
      </c>
      <c r="U42" s="28"/>
      <c r="W42" s="1" t="s">
        <v>33</v>
      </c>
      <c r="AA42" s="10" t="n">
        <v>3.67423461417477</v>
      </c>
      <c r="AB42" s="10" t="n">
        <v>4.54195995646128E-005</v>
      </c>
      <c r="AC42" s="10" t="n">
        <v>5.83361535986165E-006</v>
      </c>
      <c r="AD42" s="1"/>
      <c r="AE42" s="1"/>
    </row>
    <row r="43" customFormat="false" ht="12.8" hidden="false" customHeight="false" outlineLevel="0" collapsed="false">
      <c r="B43" s="1"/>
      <c r="C43" s="1"/>
      <c r="D43" s="1"/>
      <c r="E43" s="1" t="n">
        <v>16</v>
      </c>
      <c r="F43" s="3" t="n">
        <v>251.6</v>
      </c>
      <c r="G43" s="2" t="n">
        <v>25.2935907725821</v>
      </c>
      <c r="H43" s="1" t="n">
        <v>0.201061929829747</v>
      </c>
      <c r="I43" s="10" t="n">
        <v>26.86</v>
      </c>
      <c r="J43" s="9" t="n">
        <v>21.25</v>
      </c>
      <c r="K43" s="9"/>
      <c r="L43" s="1"/>
      <c r="N43" s="1"/>
      <c r="O43" s="1"/>
      <c r="P43" s="1"/>
      <c r="Q43" s="1"/>
      <c r="R43" s="1"/>
      <c r="S43" s="1"/>
      <c r="T43" s="28" t="n">
        <f aca="false">3/SQRT(T37*T40)*10^10</f>
        <v>20080483222.5625</v>
      </c>
      <c r="U43" s="28" t="n">
        <f aca="false">V43/100*T43</f>
        <v>436424082.288908</v>
      </c>
      <c r="V43" s="2" t="n">
        <f aca="false">V40</f>
        <v>2.17337440265651</v>
      </c>
      <c r="W43" s="1" t="n">
        <f aca="false">1/U43^2</f>
        <v>5.25028145231556E-018</v>
      </c>
      <c r="AA43" s="10" t="n">
        <v>4</v>
      </c>
      <c r="AB43" s="10" t="n">
        <v>4.63675452183319E-005</v>
      </c>
      <c r="AC43" s="10" t="n">
        <v>5.93792415005542E-006</v>
      </c>
      <c r="AD43" s="1"/>
      <c r="AE43" s="1"/>
    </row>
    <row r="44" customFormat="false" ht="12.8" hidden="false" customHeight="false" outlineLevel="0" collapsed="false">
      <c r="B44" s="1"/>
      <c r="C44" s="1"/>
      <c r="D44" s="1"/>
      <c r="E44" s="1" t="n">
        <v>18.5</v>
      </c>
      <c r="F44" s="3" t="n">
        <v>251.416216216216</v>
      </c>
      <c r="G44" s="2" t="n">
        <v>29.2243515007537</v>
      </c>
      <c r="H44" s="1" t="n">
        <v>0.232477856365645</v>
      </c>
      <c r="I44" s="10" t="n">
        <v>27.26</v>
      </c>
      <c r="J44" s="9" t="n">
        <v>20.87</v>
      </c>
      <c r="K44" s="9"/>
      <c r="L44" s="1"/>
      <c r="N44" s="1"/>
      <c r="O44" s="1"/>
      <c r="P44" s="1"/>
      <c r="Q44" s="1"/>
      <c r="R44" s="1"/>
      <c r="S44" s="1"/>
      <c r="U44" s="28"/>
      <c r="AA44" s="10" t="n">
        <v>4.30116263352131</v>
      </c>
      <c r="AB44" s="10" t="n">
        <v>5.28643507786485E-005</v>
      </c>
      <c r="AC44" s="10" t="n">
        <v>5.97163551570242E-006</v>
      </c>
      <c r="AD44" s="1"/>
      <c r="AE44" s="1"/>
    </row>
    <row r="45" customFormat="false" ht="12.8" hidden="false" customHeight="false" outlineLevel="0" collapsed="false">
      <c r="E45" s="1" t="n">
        <v>21</v>
      </c>
      <c r="F45" s="3" t="n">
        <v>273.295238095238</v>
      </c>
      <c r="G45" s="2" t="n">
        <v>36.0604571149651</v>
      </c>
      <c r="H45" s="10" t="n">
        <v>0.263893782901543</v>
      </c>
      <c r="I45" s="1" t="n">
        <v>27.6</v>
      </c>
      <c r="J45" s="1" t="n">
        <v>20.5</v>
      </c>
      <c r="N45" s="1"/>
      <c r="O45" s="1"/>
      <c r="S45" s="1"/>
      <c r="T45" s="1" t="s">
        <v>48</v>
      </c>
      <c r="AA45" s="10" t="n">
        <v>4.58257569495584</v>
      </c>
      <c r="AB45" s="10" t="n">
        <v>5.88578159357852E-005</v>
      </c>
      <c r="AC45" s="10" t="n">
        <v>6.01304042375798E-006</v>
      </c>
      <c r="AD45" s="1"/>
      <c r="AE45" s="1"/>
    </row>
    <row r="46" customFormat="false" ht="12.8" hidden="false" customHeight="false" outlineLevel="0" collapsed="false">
      <c r="C46" s="1"/>
      <c r="D46" s="1"/>
      <c r="E46" s="1" t="n">
        <v>23.5</v>
      </c>
      <c r="F46" s="3" t="n">
        <v>250.965957446809</v>
      </c>
      <c r="G46" s="2" t="n">
        <v>37.056341986153</v>
      </c>
      <c r="H46" s="10" t="n">
        <v>0.295309709437441</v>
      </c>
      <c r="I46" s="1" t="n">
        <v>27.3</v>
      </c>
      <c r="J46" s="1" t="n">
        <v>20.09</v>
      </c>
      <c r="P46" s="1"/>
      <c r="Q46" s="1"/>
      <c r="R46" s="1"/>
      <c r="S46" s="1"/>
      <c r="T46" s="28" t="n">
        <f aca="false">(G21*D21+G22*D22+W43*T43)/(G21+G22+W43)</f>
        <v>20218850843.404</v>
      </c>
      <c r="U46" s="7" t="n">
        <f aca="false">SQRT(E21^2+E22^2+U43^2)/3</f>
        <v>145545069.229717</v>
      </c>
      <c r="V46" s="25" t="n">
        <f aca="false">U46/T46*100</f>
        <v>0.719848374949552</v>
      </c>
      <c r="AA46" s="10" t="n">
        <v>4.84767985741633</v>
      </c>
      <c r="AB46" s="10" t="n">
        <v>6.06931983620779E-005</v>
      </c>
      <c r="AC46" s="10" t="n">
        <v>6.11567873197571E-006</v>
      </c>
      <c r="AD46" s="1"/>
      <c r="AE46" s="1"/>
    </row>
    <row r="47" customFormat="false" ht="12.8" hidden="false" customHeight="false" outlineLevel="0" collapsed="false">
      <c r="B47" s="1"/>
      <c r="C47" s="32"/>
      <c r="D47" s="1"/>
      <c r="E47" s="1" t="n">
        <v>26</v>
      </c>
      <c r="F47" s="3" t="n">
        <v>251.369230769231</v>
      </c>
      <c r="G47" s="2" t="n">
        <v>41.0643858936029</v>
      </c>
      <c r="H47" s="10" t="n">
        <v>0.326725635973339</v>
      </c>
      <c r="I47" s="1" t="n">
        <v>26.81</v>
      </c>
      <c r="J47" s="9" t="n">
        <v>19.7</v>
      </c>
      <c r="K47" s="9"/>
      <c r="L47" s="1"/>
      <c r="P47" s="1"/>
      <c r="Q47" s="1"/>
      <c r="R47" s="1"/>
      <c r="S47" s="1"/>
      <c r="T47" s="1"/>
      <c r="AA47" s="10" t="n">
        <v>5.09901951359278</v>
      </c>
      <c r="AB47" s="10" t="n">
        <v>6.09884450895413E-005</v>
      </c>
      <c r="AC47" s="10" t="n">
        <v>6.23348608482388E-006</v>
      </c>
      <c r="AD47" s="1"/>
      <c r="AE47" s="1"/>
    </row>
    <row r="48" customFormat="false" ht="12.8" hidden="false" customHeight="false" outlineLevel="0" collapsed="false">
      <c r="B48" s="32"/>
      <c r="C48" s="1"/>
      <c r="D48" s="1"/>
      <c r="E48" s="1" t="n">
        <v>28.5</v>
      </c>
      <c r="F48" s="3" t="n">
        <v>251.414035087719</v>
      </c>
      <c r="G48" s="2" t="n">
        <v>45.0209076815339</v>
      </c>
      <c r="H48" s="10" t="n">
        <v>0.358141562509236</v>
      </c>
      <c r="I48" s="1" t="n">
        <v>26.96</v>
      </c>
      <c r="J48" s="1" t="n">
        <v>19.26</v>
      </c>
      <c r="P48" s="7"/>
      <c r="Q48" s="7"/>
      <c r="R48" s="1"/>
      <c r="S48" s="1"/>
      <c r="T48" s="1" t="s">
        <v>41</v>
      </c>
      <c r="AA48" s="10" t="n">
        <v>5.33853912601566</v>
      </c>
      <c r="AB48" s="10" t="n">
        <v>6.65631998088402E-005</v>
      </c>
      <c r="AC48" s="10" t="n">
        <v>6.31436667157726E-006</v>
      </c>
      <c r="AD48" s="1"/>
      <c r="AE48" s="1"/>
    </row>
    <row r="49" customFormat="false" ht="12.8" hidden="false" customHeight="true" outlineLevel="0" collapsed="false">
      <c r="E49" s="1" t="n">
        <v>31</v>
      </c>
      <c r="F49" s="3" t="n">
        <v>251.206451612903</v>
      </c>
      <c r="G49" s="2" t="n">
        <v>48.9296772611303</v>
      </c>
      <c r="H49" s="10" t="n">
        <v>0.389557489045134</v>
      </c>
      <c r="I49" s="1" t="n">
        <v>26.9</v>
      </c>
      <c r="J49" s="1" t="n">
        <v>18.9</v>
      </c>
      <c r="P49" s="1"/>
      <c r="Q49" s="1"/>
      <c r="R49" s="1"/>
      <c r="S49" s="1"/>
      <c r="T49" s="1" t="n">
        <f aca="false">(4*T34*T46/3/10^10/C6/AA26)^2</f>
        <v>2.01790357557731E+018</v>
      </c>
      <c r="U49" s="10" t="n">
        <f aca="false">2*T49*SQRT(V34^2+V46^2+C4^2+AC26^2)/100</f>
        <v>1.32086357039559E+017</v>
      </c>
      <c r="V49" s="2" t="n">
        <f aca="false">U49/T49*100</f>
        <v>6.54572193826311</v>
      </c>
      <c r="W49" s="2"/>
      <c r="Z49" s="25"/>
      <c r="AA49" s="25" t="n">
        <v>5.56776436283002</v>
      </c>
      <c r="AB49" s="25" t="n">
        <v>6.98565845077279E-005</v>
      </c>
      <c r="AC49" s="10" t="n">
        <v>6.39895554859299E-006</v>
      </c>
    </row>
    <row r="50" customFormat="false" ht="12.8" hidden="false" customHeight="false" outlineLevel="0" collapsed="false">
      <c r="B50" s="1"/>
      <c r="C50" s="1"/>
      <c r="D50" s="1"/>
      <c r="E50" s="1" t="n">
        <v>33.5</v>
      </c>
      <c r="F50" s="3" t="n">
        <v>251.005970149254</v>
      </c>
      <c r="G50" s="2" t="n">
        <v>52.833420292481</v>
      </c>
      <c r="H50" s="1" t="n">
        <v>0.420973415581032</v>
      </c>
      <c r="I50" s="1" t="n">
        <v>26.8</v>
      </c>
      <c r="J50" s="1" t="n">
        <v>18.54</v>
      </c>
      <c r="K50" s="1"/>
      <c r="L50" s="1"/>
      <c r="N50" s="33"/>
      <c r="O50" s="34"/>
      <c r="S50" s="1"/>
      <c r="T50" s="1"/>
      <c r="V50" s="35"/>
      <c r="W50" s="36"/>
      <c r="X50" s="36"/>
      <c r="Y50" s="36"/>
      <c r="Z50" s="37"/>
      <c r="AA50" s="38" t="n">
        <v>5.78791845139511</v>
      </c>
      <c r="AB50" s="36" t="n">
        <v>7.29256293425499E-005</v>
      </c>
      <c r="AC50" s="34" t="n">
        <v>6.49020506062622E-006</v>
      </c>
      <c r="AD50" s="33"/>
      <c r="AE50" s="33"/>
      <c r="AF50" s="33"/>
      <c r="AG50" s="39"/>
      <c r="AH50" s="40"/>
      <c r="AI50" s="33"/>
    </row>
    <row r="51" customFormat="false" ht="12.8" hidden="false" customHeight="false" outlineLevel="0" collapsed="false">
      <c r="B51" s="1"/>
      <c r="C51" s="1"/>
      <c r="D51" s="1"/>
      <c r="E51" s="1" t="n">
        <v>36</v>
      </c>
      <c r="F51" s="3" t="n">
        <v>250.8</v>
      </c>
      <c r="G51" s="2" t="n">
        <v>56.729623501463</v>
      </c>
      <c r="H51" s="1" t="n">
        <v>0.45238934211693</v>
      </c>
      <c r="I51" s="1" t="n">
        <v>26.4</v>
      </c>
      <c r="J51" s="1" t="n">
        <v>18.08</v>
      </c>
      <c r="K51" s="1"/>
      <c r="L51" s="1"/>
      <c r="N51" s="26"/>
      <c r="O51" s="33"/>
      <c r="S51" s="1"/>
      <c r="T51" s="1"/>
      <c r="V51" s="36"/>
      <c r="W51" s="41"/>
      <c r="X51" s="41"/>
      <c r="Y51" s="25"/>
      <c r="Z51" s="41"/>
      <c r="AA51" s="41" t="n">
        <v>6</v>
      </c>
      <c r="AB51" s="25" t="n">
        <v>7.49218546892236E-005</v>
      </c>
      <c r="AC51" s="33" t="n">
        <v>6.63378729135704E-006</v>
      </c>
      <c r="AD51" s="32"/>
      <c r="AE51" s="32"/>
      <c r="AF51" s="26"/>
      <c r="AG51" s="32"/>
      <c r="AH51" s="32"/>
      <c r="AI51" s="26"/>
    </row>
    <row r="52" customFormat="false" ht="12.8" hidden="false" customHeight="false" outlineLevel="0" collapsed="false">
      <c r="E52" s="1" t="n">
        <v>38.5</v>
      </c>
      <c r="F52" s="3" t="n">
        <v>250.866233766234</v>
      </c>
      <c r="G52" s="2" t="n">
        <v>60.685202811598</v>
      </c>
      <c r="H52" s="10" t="n">
        <v>0.483805268652828</v>
      </c>
      <c r="I52" s="1" t="n">
        <v>26.2</v>
      </c>
      <c r="J52" s="1" t="n">
        <v>17.5</v>
      </c>
      <c r="N52" s="26"/>
      <c r="O52" s="33"/>
      <c r="P52" s="7"/>
      <c r="Q52" s="7"/>
      <c r="S52" s="1"/>
      <c r="T52" s="1"/>
      <c r="V52" s="36"/>
      <c r="W52" s="41"/>
      <c r="X52" s="41"/>
      <c r="Y52" s="25"/>
      <c r="Z52" s="41"/>
      <c r="AA52" s="41" t="n">
        <v>6.20483682299543</v>
      </c>
      <c r="AB52" s="25" t="n">
        <v>7.98698774590977E-005</v>
      </c>
      <c r="AC52" s="33" t="n">
        <v>6.80007925902672E-006</v>
      </c>
      <c r="AD52" s="32"/>
      <c r="AE52" s="32"/>
      <c r="AF52" s="26"/>
      <c r="AG52" s="32"/>
      <c r="AH52" s="32"/>
      <c r="AI52" s="26"/>
    </row>
    <row r="53" customFormat="false" ht="12.8" hidden="false" customHeight="false" outlineLevel="0" collapsed="false">
      <c r="I53" s="1"/>
      <c r="J53" s="1"/>
      <c r="N53" s="42"/>
      <c r="O53" s="34"/>
      <c r="P53" s="25"/>
      <c r="Q53" s="25"/>
      <c r="R53" s="25"/>
      <c r="S53" s="8"/>
      <c r="T53" s="25"/>
      <c r="U53" s="8"/>
      <c r="V53" s="35"/>
      <c r="W53" s="37"/>
      <c r="X53" s="37"/>
      <c r="Y53" s="35"/>
      <c r="Z53" s="37"/>
      <c r="AA53" s="37"/>
      <c r="AB53" s="35"/>
      <c r="AC53" s="34"/>
      <c r="AD53" s="39"/>
      <c r="AE53" s="39"/>
      <c r="AF53" s="42"/>
      <c r="AG53" s="39"/>
      <c r="AH53" s="39"/>
      <c r="AI53" s="42"/>
    </row>
    <row r="54" customFormat="false" ht="12.8" hidden="false" customHeight="true" outlineLevel="0" collapsed="false">
      <c r="T54" s="25"/>
      <c r="U54" s="25"/>
      <c r="V54" s="25"/>
      <c r="W54" s="25"/>
      <c r="X54" s="25"/>
      <c r="Y54" s="25"/>
      <c r="Z54" s="25"/>
      <c r="AA54" s="25"/>
      <c r="AB54" s="25"/>
    </row>
    <row r="55" customFormat="false" ht="12.8" hidden="false" customHeight="false" outlineLevel="0" collapsed="false">
      <c r="H55" s="1"/>
      <c r="I55" s="1"/>
      <c r="O55" s="1"/>
      <c r="P55" s="1"/>
      <c r="T55" s="25"/>
      <c r="U55" s="25"/>
      <c r="V55" s="21"/>
      <c r="W55" s="21"/>
      <c r="X55" s="25"/>
      <c r="Y55" s="25"/>
      <c r="Z55" s="25"/>
      <c r="AA55" s="25"/>
      <c r="AB55" s="25"/>
      <c r="AC55" s="1"/>
      <c r="AD55" s="1"/>
    </row>
    <row r="56" customFormat="false" ht="12.8" hidden="false" customHeight="false" outlineLevel="0" collapsed="false">
      <c r="H56" s="1"/>
      <c r="I56" s="1"/>
      <c r="J56" s="1"/>
      <c r="O56" s="1"/>
      <c r="P56" s="1"/>
      <c r="Q56" s="1"/>
      <c r="T56" s="25"/>
      <c r="U56" s="25"/>
      <c r="V56" s="21"/>
      <c r="W56" s="21"/>
      <c r="X56" s="21"/>
      <c r="Y56" s="25"/>
      <c r="Z56" s="25"/>
      <c r="AA56" s="25"/>
      <c r="AB56" s="25"/>
      <c r="AC56" s="1"/>
      <c r="AD56" s="1"/>
      <c r="AE56" s="1"/>
    </row>
    <row r="57" customFormat="false" ht="12.8" hidden="false" customHeight="false" outlineLevel="0" collapsed="false">
      <c r="H57" s="1"/>
      <c r="I57" s="1"/>
      <c r="J57" s="1"/>
      <c r="O57" s="1"/>
      <c r="P57" s="1"/>
      <c r="Q57" s="1"/>
      <c r="T57" s="25"/>
      <c r="U57" s="25"/>
      <c r="V57" s="21"/>
      <c r="W57" s="21"/>
      <c r="X57" s="21"/>
      <c r="Y57" s="25"/>
      <c r="Z57" s="25"/>
      <c r="AA57" s="25"/>
      <c r="AB57" s="25"/>
      <c r="AC57" s="1"/>
      <c r="AD57" s="1"/>
      <c r="AE57" s="1"/>
    </row>
    <row r="58" customFormat="false" ht="12.8" hidden="false" customHeight="true" outlineLevel="0" collapsed="false">
      <c r="T58" s="25"/>
      <c r="U58" s="25"/>
      <c r="V58" s="5" t="n">
        <f aca="false">5.96 * 10^7 / 1.11 * 10^12/1000</f>
        <v>53693693693693700</v>
      </c>
      <c r="W58" s="25"/>
      <c r="X58" s="25"/>
      <c r="Y58" s="25"/>
      <c r="Z58" s="25"/>
      <c r="AA58" s="25"/>
      <c r="AB58" s="25"/>
    </row>
    <row r="59" customFormat="false" ht="12.8" hidden="false" customHeight="false" outlineLevel="0" collapsed="false">
      <c r="H59" s="1"/>
      <c r="O59" s="1"/>
      <c r="T59" s="25"/>
      <c r="U59" s="25"/>
      <c r="V59" s="21"/>
      <c r="W59" s="25"/>
      <c r="X59" s="25"/>
      <c r="Y59" s="25"/>
      <c r="Z59" s="25"/>
      <c r="AA59" s="25"/>
      <c r="AB59" s="25"/>
      <c r="AC59" s="1"/>
    </row>
    <row r="60" customFormat="false" ht="12.8" hidden="false" customHeight="false" outlineLevel="0" collapsed="false">
      <c r="H60" s="8"/>
      <c r="I60" s="8"/>
      <c r="J60" s="1"/>
      <c r="O60" s="8"/>
      <c r="P60" s="8"/>
      <c r="Q60" s="1"/>
      <c r="V60" s="8"/>
      <c r="W60" s="8"/>
      <c r="X60" s="1"/>
      <c r="AC60" s="8"/>
      <c r="AD60" s="8"/>
      <c r="AE60" s="1"/>
    </row>
    <row r="62" customFormat="false" ht="12.8" hidden="false" customHeight="false" outlineLevel="0" collapsed="false">
      <c r="H62" s="1"/>
      <c r="O62" s="1"/>
      <c r="V62" s="1"/>
      <c r="AC62" s="1"/>
    </row>
    <row r="63" customFormat="false" ht="12.8" hidden="false" customHeight="false" outlineLevel="0" collapsed="false">
      <c r="H63" s="1"/>
      <c r="I63" s="1"/>
      <c r="J63" s="1"/>
      <c r="O63" s="1"/>
      <c r="P63" s="1"/>
      <c r="Q63" s="1"/>
      <c r="V63" s="1"/>
      <c r="W63" s="1"/>
      <c r="X63" s="1"/>
      <c r="AC63" s="1"/>
      <c r="AD63" s="1"/>
      <c r="AE63" s="1"/>
    </row>
    <row r="66" customFormat="false" ht="12.8" hidden="false" customHeight="false" outlineLevel="0" collapsed="false">
      <c r="H66" s="1"/>
      <c r="O66" s="1"/>
      <c r="V66" s="1"/>
      <c r="AC66" s="1"/>
    </row>
    <row r="67" customFormat="false" ht="12.8" hidden="false" customHeight="false" outlineLevel="0" collapsed="false">
      <c r="H67" s="1"/>
      <c r="I67" s="1"/>
      <c r="J67" s="1"/>
      <c r="O67" s="1"/>
      <c r="P67" s="1"/>
      <c r="Q67" s="1"/>
      <c r="V67" s="1"/>
      <c r="W67" s="1"/>
      <c r="X67" s="1"/>
      <c r="AC67" s="1"/>
      <c r="AD67" s="1"/>
      <c r="AE67" s="1"/>
    </row>
    <row r="69" customFormat="false" ht="12.8" hidden="false" customHeight="true" outlineLevel="0" collapsed="false">
      <c r="H69" s="1"/>
      <c r="O69" s="1"/>
      <c r="V69" s="1"/>
      <c r="AC69" s="1"/>
    </row>
    <row r="70" customFormat="false" ht="12.8" hidden="false" customHeight="true" outlineLevel="0" collapsed="false">
      <c r="A70" s="1"/>
      <c r="B70" s="1"/>
      <c r="C70" s="1"/>
      <c r="D70" s="1"/>
      <c r="E70" s="1"/>
      <c r="H70" s="1"/>
      <c r="I70" s="1"/>
      <c r="J70" s="1"/>
      <c r="O70" s="1"/>
      <c r="P70" s="1"/>
      <c r="Q70" s="1"/>
      <c r="V70" s="1"/>
      <c r="W70" s="1"/>
      <c r="X70" s="1"/>
      <c r="AC70" s="1"/>
      <c r="AD70" s="1"/>
      <c r="AE70" s="1"/>
    </row>
    <row r="71" customFormat="false" ht="12.8" hidden="false" customHeight="true" outlineLevel="0" collapsed="false">
      <c r="A71" s="43"/>
      <c r="B71" s="32"/>
      <c r="C71" s="9"/>
      <c r="D71" s="1"/>
      <c r="E71" s="1"/>
    </row>
    <row r="72" customFormat="false" ht="12.8" hidden="false" customHeight="true" outlineLevel="0" collapsed="false">
      <c r="A72" s="43"/>
      <c r="B72" s="1"/>
      <c r="H72" s="1"/>
      <c r="O72" s="1"/>
      <c r="V72" s="1"/>
      <c r="AC72" s="1"/>
    </row>
    <row r="73" customFormat="false" ht="12.8" hidden="false" customHeight="true" outlineLevel="0" collapsed="false">
      <c r="H73" s="1"/>
      <c r="I73" s="1"/>
      <c r="J73" s="1"/>
      <c r="O73" s="1"/>
      <c r="P73" s="1"/>
      <c r="Q73" s="1"/>
      <c r="V73" s="1"/>
      <c r="W73" s="1"/>
      <c r="X73" s="1"/>
      <c r="AC73" s="1"/>
      <c r="AD73" s="1"/>
      <c r="AE73" s="1"/>
    </row>
    <row r="74" customFormat="false" ht="12.8" hidden="false" customHeight="true" outlineLevel="0" collapsed="false">
      <c r="A74" s="1"/>
      <c r="C74" s="1"/>
    </row>
    <row r="75" customFormat="false" ht="12.8" hidden="false" customHeight="true" outlineLevel="0" collapsed="false">
      <c r="A75" s="44"/>
      <c r="C75" s="1"/>
      <c r="H75" s="1"/>
      <c r="O75" s="1"/>
      <c r="V75" s="1"/>
      <c r="AC75" s="1"/>
    </row>
    <row r="76" customFormat="false" ht="12.8" hidden="false" customHeight="true" outlineLevel="0" collapsed="false">
      <c r="H76" s="1"/>
      <c r="I76" s="8"/>
      <c r="J76" s="1"/>
      <c r="O76" s="1"/>
      <c r="P76" s="8"/>
      <c r="Q76" s="1"/>
      <c r="V76" s="1"/>
      <c r="W76" s="8"/>
      <c r="X76" s="1"/>
      <c r="AC76" s="8"/>
      <c r="AD76" s="8"/>
      <c r="AE76" s="10"/>
    </row>
    <row r="78" customFormat="false" ht="12.8" hidden="false" customHeight="true" outlineLevel="0" collapsed="false">
      <c r="H78" s="8"/>
      <c r="I78" s="8"/>
      <c r="J7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2025-10-10T10:09:03Z</dcterms:created>
  <dc:creator/>
  <dc:description/>
  <dc:language>ru-RU</dc:language>
  <cp:lastModifiedBy/>
  <dcterms:modified xsi:type="dcterms:W3CDTF">2025-11-19T19:04:54Z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