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<sst xmlns="http://schemas.openxmlformats.org/spreadsheetml/2006/main" count="77" uniqueCount="60">
  <si>
    <t xml:space="preserve">m_листов, г</t>
  </si>
  <si>
    <t xml:space="preserve">m_листов+40, г</t>
  </si>
  <si>
    <t xml:space="preserve">m_40, г</t>
  </si>
  <si>
    <t xml:space="preserve">m_1, г</t>
  </si>
  <si>
    <t xml:space="preserve">погр, г</t>
  </si>
  <si>
    <t xml:space="preserve">d_10, мм</t>
  </si>
  <si>
    <t xml:space="preserve">r_1, cм</t>
  </si>
  <si>
    <t xml:space="preserve">погр, cм</t>
  </si>
  <si>
    <t xml:space="preserve">№</t>
  </si>
  <si>
    <t xml:space="preserve">B_p, мТл</t>
  </si>
  <si>
    <t xml:space="preserve">Задание 2</t>
  </si>
  <si>
    <t xml:space="preserve">А.</t>
  </si>
  <si>
    <t xml:space="preserve">Б.</t>
  </si>
  <si>
    <t xml:space="preserve">m_гр, г</t>
  </si>
  <si>
    <t xml:space="preserve">F,  дин</t>
  </si>
  <si>
    <t xml:space="preserve">F_0, дин</t>
  </si>
  <si>
    <t xml:space="preserve">P_m</t>
  </si>
  <si>
    <t xml:space="preserve">B_p, Гс</t>
  </si>
  <si>
    <t xml:space="preserve">горизонт</t>
  </si>
  <si>
    <t xml:space="preserve">k</t>
  </si>
  <si>
    <t xml:space="preserve">n</t>
  </si>
  <si>
    <t xml:space="preserve">плечо, см</t>
  </si>
  <si>
    <t xml:space="preserve">М, дин*см</t>
  </si>
  <si>
    <t xml:space="preserve">d_отрыва, cм</t>
  </si>
  <si>
    <t xml:space="preserve">r_max, мм</t>
  </si>
  <si>
    <t xml:space="preserve">погр, см</t>
  </si>
  <si>
    <t xml:space="preserve">T, с</t>
  </si>
  <si>
    <t xml:space="preserve">T_10, с</t>
  </si>
  <si>
    <t xml:space="preserve">погр</t>
  </si>
  <si>
    <t xml:space="preserve">B_h, Гс</t>
  </si>
  <si>
    <t xml:space="preserve">B_v, Гс</t>
  </si>
  <si>
    <t xml:space="preserve">B, Гс</t>
  </si>
  <si>
    <t xml:space="preserve">\beta</t>
  </si>
  <si>
    <t xml:space="preserve">55.929444</t>
  </si>
  <si>
    <t xml:space="preserve">37.518434</t>
  </si>
  <si>
    <t xml:space="preserve">ср</t>
  </si>
  <si>
    <t xml:space="preserve">р_m</t>
  </si>
  <si>
    <t xml:space="preserve">B_r, Гс</t>
  </si>
  <si>
    <t xml:space="preserve">h</t>
  </si>
  <si>
    <t xml:space="preserve">v</t>
  </si>
  <si>
    <t xml:space="preserve">w_A</t>
  </si>
  <si>
    <t xml:space="preserve">w_B</t>
  </si>
  <si>
    <t xml:space="preserve">P_m^ср</t>
  </si>
  <si>
    <t xml:space="preserve">\theta</t>
  </si>
  <si>
    <t xml:space="preserve">B_экв, Гс</t>
  </si>
  <si>
    <t xml:space="preserve">1 мТл = 10 Гс</t>
  </si>
  <si>
    <t xml:space="preserve">Радиус Земли, см</t>
  </si>
  <si>
    <t xml:space="preserve">g, см/с^2</t>
  </si>
  <si>
    <t xml:space="preserve">w_dir</t>
  </si>
  <si>
    <t xml:space="preserve">P_з</t>
  </si>
  <si>
    <t xml:space="preserve">\beta, ^\circ</t>
  </si>
  <si>
    <t xml:space="preserve">Экспериментальные</t>
  </si>
  <si>
    <t xml:space="preserve">Табличные</t>
  </si>
  <si>
    <t xml:space="preserve">табличный</t>
  </si>
  <si>
    <t xml:space="preserve">Метод</t>
  </si>
  <si>
    <t xml:space="preserve">P_m, см^3 \cdot Гс</t>
  </si>
  <si>
    <t xml:space="preserve">p_m, Гс</t>
  </si>
  <si>
    <t xml:space="preserve">Прямое измерение</t>
  </si>
  <si>
    <t xml:space="preserve">Метод А</t>
  </si>
  <si>
    <t xml:space="preserve">Метод Б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</si>
</sst>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.000"/>
    <numFmt numFmtId="166" formatCode="0.00"/>
    <numFmt numFmtId="167" formatCode="0.00E+00"/>
    <numFmt numFmtId="168" formatCode="0"/>
    <numFmt numFmtId="169" formatCode="0.0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sz val="10"/>
      <name val="Times New Roman"/>
      <family val="1"/>
      <charset val="1"/>
    </font>
  </fonts>
  <fills count="2">
    <fill>
      <patternFill patternType="none"/>
    </fill>
    <fill>
      <patternFill patternType="gray125"/>
    </fill>
  </fills>
  <borders count="7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2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5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5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6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6" fontId="0" fillId="0" borderId="6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R78"/>
  <sheetViews>
    <sheetView showFormulas="false" showGridLines="true" showRowColHeaders="true" showZeros="true" rightToLeft="false" tabSelected="true" showOutlineSymbols="true" defaultGridColor="true" view="normal" topLeftCell="AL7" colorId="64" zoomScale="120" zoomScaleNormal="120" zoomScalePageLayoutView="100" workbookViewId="0">
      <selection pane="topLeft" activeCell="AQ14" activeCellId="0" sqref="AQ14"/>
    </sheetView>
  </sheetViews>
  <sheetFormatPr defaultColWidth="11.53515625" defaultRowHeight="12.8" customHeight="true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2.8" hidden="false" customHeight="false" outlineLevel="0" collapsed="false">
      <c r="A2" s="1" t="n">
        <v>145.613</v>
      </c>
      <c r="B2" s="1" t="n">
        <v>178.693</v>
      </c>
      <c r="C2" s="1" t="n">
        <f aca="false">B2-A2</f>
        <v>33.08</v>
      </c>
      <c r="D2" s="1" t="n">
        <f aca="false">C2/40</f>
        <v>0.827</v>
      </c>
      <c r="E2" s="1" t="n">
        <f aca="false">0.001/40</f>
        <v>2.5E-005</v>
      </c>
      <c r="F2" s="1" t="n">
        <f aca="false">E2/D2*100</f>
        <v>0.0030229746070133</v>
      </c>
    </row>
    <row r="3" customFormat="false" ht="12.8" hidden="false" customHeight="false" outlineLevel="0" collapsed="false">
      <c r="B3" s="1"/>
    </row>
    <row r="4" customFormat="false" ht="12.8" hidden="false" customHeight="true" outlineLevel="0" collapsed="false">
      <c r="A4" s="1" t="s">
        <v>5</v>
      </c>
      <c r="B4" s="1" t="s">
        <v>6</v>
      </c>
      <c r="C4" s="1" t="s">
        <v>7</v>
      </c>
    </row>
    <row r="5" customFormat="false" ht="12.8" hidden="false" customHeight="true" outlineLevel="0" collapsed="false">
      <c r="A5" s="1" t="n">
        <v>57.3</v>
      </c>
      <c r="B5" s="1" t="n">
        <f aca="false">A5/20/10</f>
        <v>0.2865</v>
      </c>
      <c r="C5" s="1" t="n">
        <f aca="false">0.1/20/10</f>
        <v>0.0005</v>
      </c>
      <c r="D5" s="1" t="n">
        <f aca="false">C5/B5*100</f>
        <v>0.174520069808028</v>
      </c>
    </row>
    <row r="7" customFormat="false" ht="12.8" hidden="false" customHeight="false" outlineLevel="0" collapsed="false">
      <c r="A7" s="1" t="s">
        <v>8</v>
      </c>
      <c r="B7" s="1" t="s">
        <v>9</v>
      </c>
      <c r="I7" s="1"/>
    </row>
    <row r="8" customFormat="false" ht="12.8" hidden="false" customHeight="false" outlineLevel="0" collapsed="false">
      <c r="A8" s="1" t="n">
        <v>1</v>
      </c>
      <c r="B8" s="1" t="n">
        <v>328</v>
      </c>
      <c r="I8" s="1"/>
      <c r="P8" s="1"/>
      <c r="W8" s="1"/>
      <c r="AD8" s="1"/>
    </row>
    <row r="9" customFormat="false" ht="12.8" hidden="false" customHeight="false" outlineLevel="0" collapsed="false">
      <c r="A9" s="1" t="n">
        <v>2</v>
      </c>
      <c r="B9" s="1" t="n">
        <v>270</v>
      </c>
      <c r="C9" s="1"/>
      <c r="I9" s="1"/>
      <c r="L9" s="1"/>
      <c r="P9" s="1"/>
      <c r="S9" s="1"/>
      <c r="T9" s="1" t="s">
        <v>10</v>
      </c>
      <c r="W9" s="1"/>
      <c r="Z9" s="1"/>
      <c r="AD9" s="1"/>
      <c r="AG9" s="1"/>
    </row>
    <row r="10" customFormat="false" ht="12.8" hidden="false" customHeight="false" outlineLevel="0" collapsed="false">
      <c r="A10" s="1" t="n">
        <v>3</v>
      </c>
      <c r="B10" s="1" t="n">
        <v>238</v>
      </c>
      <c r="C10" s="1"/>
      <c r="E10" s="1" t="s">
        <v>11</v>
      </c>
      <c r="I10" s="1"/>
      <c r="J10" s="1"/>
      <c r="L10" s="1" t="s">
        <v>12</v>
      </c>
      <c r="M10" s="1"/>
      <c r="N10" s="1" t="s">
        <v>13</v>
      </c>
      <c r="O10" s="1" t="s">
        <v>14</v>
      </c>
      <c r="P10" s="1" t="s">
        <v>15</v>
      </c>
      <c r="Q10" s="1" t="s">
        <v>16</v>
      </c>
      <c r="R10" s="1" t="s">
        <v>17</v>
      </c>
      <c r="S10" s="1"/>
      <c r="T10" s="1"/>
      <c r="U10" s="1" t="s">
        <v>18</v>
      </c>
      <c r="W10" s="1"/>
      <c r="X10" s="1"/>
      <c r="Y10" s="1"/>
      <c r="Z10" s="1" t="s">
        <v>19</v>
      </c>
      <c r="AA10" s="1"/>
      <c r="AB10" s="1"/>
      <c r="AD10" s="1" t="s">
        <v>20</v>
      </c>
      <c r="AE10" s="1" t="s">
        <v>21</v>
      </c>
      <c r="AF10" s="1" t="s">
        <v>13</v>
      </c>
      <c r="AG10" s="1" t="s">
        <v>22</v>
      </c>
      <c r="AH10" s="1"/>
      <c r="AI10" s="1"/>
    </row>
    <row r="11" customFormat="false" ht="12.8" hidden="false" customHeight="false" outlineLevel="0" collapsed="false">
      <c r="A11" s="1" t="n">
        <v>4</v>
      </c>
      <c r="B11" s="1" t="n">
        <v>320</v>
      </c>
      <c r="C11" s="1"/>
      <c r="F11" s="1" t="s">
        <v>23</v>
      </c>
      <c r="G11" s="1" t="s">
        <v>24</v>
      </c>
      <c r="H11" s="1" t="s">
        <v>25</v>
      </c>
      <c r="K11" s="1"/>
      <c r="L11" s="1"/>
      <c r="N11" s="1" t="n">
        <f aca="false">273.288+79.966</f>
        <v>353.254</v>
      </c>
      <c r="O11" s="1" t="n">
        <f aca="false">N11*C23</f>
        <v>346423.83391</v>
      </c>
      <c r="P11" s="1" t="n">
        <f aca="false">O11/1.08</f>
        <v>320762.809175926</v>
      </c>
      <c r="Q11" s="1" t="n">
        <f aca="false">SQRT(P11*(2*B5)^4/6)</f>
        <v>75.914655035109</v>
      </c>
      <c r="R11" s="1" t="n">
        <f aca="false">2*Q11/B5^3</f>
        <v>6456.27082404763</v>
      </c>
      <c r="S11" s="1"/>
      <c r="T11" s="1"/>
      <c r="U11" s="1"/>
      <c r="V11" s="1" t="s">
        <v>20</v>
      </c>
      <c r="W11" s="1" t="s">
        <v>26</v>
      </c>
      <c r="X11" s="1" t="s">
        <v>27</v>
      </c>
      <c r="Y11" s="1"/>
      <c r="Z11" s="2" t="n">
        <v>0.322</v>
      </c>
      <c r="AA11" s="1" t="n">
        <v>0.005</v>
      </c>
      <c r="AB11" s="1" t="n">
        <f aca="false">AA11/Z11*100</f>
        <v>1.5527950310559</v>
      </c>
      <c r="AD11" s="1" t="n">
        <v>12</v>
      </c>
      <c r="AE11" s="1" t="n">
        <f aca="false">4*2*$B$5</f>
        <v>2.292</v>
      </c>
      <c r="AF11" s="1" t="n">
        <v>0.127</v>
      </c>
      <c r="AG11" s="1" t="n">
        <f aca="false">AF11*$C$23*AE11</f>
        <v>285.45589086</v>
      </c>
      <c r="AH11" s="1"/>
      <c r="AI11" s="2" t="n">
        <v>25.755</v>
      </c>
      <c r="AJ11" s="2" t="n">
        <v>2.458</v>
      </c>
      <c r="AK11" s="1" t="n">
        <f aca="false">AJ11/AI11*100</f>
        <v>9.54377790720249</v>
      </c>
    </row>
    <row r="12" customFormat="false" ht="12.8" hidden="false" customHeight="false" outlineLevel="0" collapsed="false">
      <c r="A12" s="1" t="n">
        <v>5</v>
      </c>
      <c r="B12" s="1" t="n">
        <v>241</v>
      </c>
      <c r="C12" s="1"/>
      <c r="F12" s="1" t="n">
        <v>1.6</v>
      </c>
      <c r="G12" s="1" t="n">
        <f aca="false">F12+2*B5</f>
        <v>2.173</v>
      </c>
      <c r="H12" s="1" t="n">
        <v>0.1</v>
      </c>
      <c r="I12" s="1" t="n">
        <f aca="false">H12/G12*100</f>
        <v>4.60193281178095</v>
      </c>
      <c r="K12" s="1"/>
      <c r="L12" s="1"/>
      <c r="M12" s="1" t="s">
        <v>28</v>
      </c>
      <c r="N12" s="1" t="n">
        <v>20</v>
      </c>
      <c r="O12" s="1" t="n">
        <f aca="false">O11*N13/100</f>
        <v>19613.3</v>
      </c>
      <c r="P12" s="1" t="n">
        <f aca="false">P11*N13/100</f>
        <v>18160.462962963</v>
      </c>
      <c r="Q12" s="1" t="n">
        <f aca="false">Q11*SQRT((N13/2)^2+(2*D5)^2)/100</f>
        <v>2.16528440597642</v>
      </c>
      <c r="R12" s="1" t="n">
        <f aca="false">R11*SQRT(Q13^2+(3*D5)^2)/100</f>
        <v>187.226403978268</v>
      </c>
      <c r="S12" s="1"/>
      <c r="T12" s="1"/>
      <c r="U12" s="1"/>
      <c r="V12" s="1" t="n">
        <v>12</v>
      </c>
      <c r="W12" s="1" t="n">
        <f aca="false">X12/10</f>
        <v>3.748</v>
      </c>
      <c r="X12" s="1" t="n">
        <v>37.48</v>
      </c>
      <c r="Y12" s="1"/>
      <c r="Z12" s="1"/>
      <c r="AA12" s="1"/>
      <c r="AB12" s="1"/>
      <c r="AD12" s="1" t="n">
        <v>10</v>
      </c>
      <c r="AE12" s="1" t="n">
        <f aca="false">4*2*$B$5</f>
        <v>2.292</v>
      </c>
      <c r="AF12" s="1" t="n">
        <v>0.101</v>
      </c>
      <c r="AG12" s="1" t="n">
        <f aca="false">AF12*$C$23*AE12</f>
        <v>227.01610218</v>
      </c>
      <c r="AH12" s="1"/>
      <c r="AI12" s="1"/>
    </row>
    <row r="13" customFormat="false" ht="12.8" hidden="false" customHeight="false" outlineLevel="0" collapsed="false">
      <c r="A13" s="1" t="n">
        <v>6</v>
      </c>
      <c r="B13" s="1" t="n">
        <v>230</v>
      </c>
      <c r="C13" s="1"/>
      <c r="E13" s="1"/>
      <c r="G13" s="1"/>
      <c r="H13" s="1"/>
      <c r="K13" s="1"/>
      <c r="L13" s="1"/>
      <c r="N13" s="1" t="n">
        <f aca="false">N12/N11*100</f>
        <v>5.66164855882736</v>
      </c>
      <c r="O13" s="1" t="n">
        <f aca="false">O12/O11*100</f>
        <v>5.66164855882736</v>
      </c>
      <c r="P13" s="1" t="n">
        <f aca="false">P12/P11*100</f>
        <v>5.66164855882736</v>
      </c>
      <c r="Q13" s="1" t="n">
        <f aca="false">Q12/Q11*100</f>
        <v>2.85226140456677</v>
      </c>
      <c r="R13" s="1" t="n">
        <f aca="false">R12/R11*100</f>
        <v>2.8999155871979</v>
      </c>
      <c r="S13" s="1"/>
      <c r="T13" s="1"/>
      <c r="U13" s="1"/>
      <c r="V13" s="1" t="n">
        <v>10</v>
      </c>
      <c r="W13" s="1" t="n">
        <f aca="false">X13/10</f>
        <v>3.158</v>
      </c>
      <c r="X13" s="1" t="n">
        <v>31.58</v>
      </c>
      <c r="Y13" s="1"/>
      <c r="Z13" s="1" t="s">
        <v>29</v>
      </c>
      <c r="AA13" s="1"/>
      <c r="AB13" s="1"/>
      <c r="AD13" s="1" t="n">
        <v>8</v>
      </c>
      <c r="AE13" s="1" t="n">
        <f aca="false">3*2*$B$5</f>
        <v>1.719</v>
      </c>
      <c r="AF13" s="1" t="n">
        <v>0.127</v>
      </c>
      <c r="AG13" s="1" t="n">
        <f aca="false">AF13*$C$23*AE13</f>
        <v>214.091918145</v>
      </c>
      <c r="AH13" s="1"/>
      <c r="AI13" s="1"/>
    </row>
    <row r="14" customFormat="false" ht="12.8" hidden="false" customHeight="false" outlineLevel="0" collapsed="false">
      <c r="A14" s="1" t="n">
        <v>7</v>
      </c>
      <c r="B14" s="1" t="n">
        <v>337</v>
      </c>
      <c r="C14" s="1" t="s">
        <v>17</v>
      </c>
      <c r="D14" s="1" t="s">
        <v>16</v>
      </c>
      <c r="E14" s="1"/>
      <c r="G14" s="1"/>
      <c r="H14" s="1"/>
      <c r="K14" s="1"/>
      <c r="L14" s="1"/>
      <c r="M14" s="1"/>
      <c r="N14" s="1"/>
      <c r="P14" s="1"/>
      <c r="Q14" s="1"/>
      <c r="R14" s="1"/>
      <c r="S14" s="1"/>
      <c r="T14" s="1"/>
      <c r="U14" s="1"/>
      <c r="V14" s="1" t="n">
        <v>8</v>
      </c>
      <c r="W14" s="1" t="n">
        <f aca="false">X14/10</f>
        <v>2.696</v>
      </c>
      <c r="X14" s="1" t="n">
        <v>26.96</v>
      </c>
      <c r="Y14" s="1"/>
      <c r="Z14" s="1" t="n">
        <f aca="false">(PI())^2*D2*(B5*2)^2/3/Z11^2/O20</f>
        <v>0.160485670181202</v>
      </c>
      <c r="AA14" s="1" t="n">
        <f aca="false">Z14*SQRT((2*AB11)^2+(2*D5)^2+F2^2+Q20^2)/100</f>
        <v>0.00972540801839094</v>
      </c>
      <c r="AB14" s="1" t="n">
        <f aca="false">AA14/Z14*100</f>
        <v>6.05998529800832</v>
      </c>
      <c r="AD14" s="1" t="n">
        <v>6</v>
      </c>
      <c r="AE14" s="1" t="n">
        <f aca="false">2*2*$B$5</f>
        <v>1.146</v>
      </c>
      <c r="AF14" s="1" t="n">
        <v>0.17</v>
      </c>
      <c r="AG14" s="1" t="n">
        <f aca="false">AF14*$C$23*AE14</f>
        <v>191.0531553</v>
      </c>
      <c r="AH14" s="1"/>
      <c r="AI14" s="1" t="s">
        <v>30</v>
      </c>
      <c r="AJ14" s="1" t="s">
        <v>31</v>
      </c>
      <c r="AK14" s="1" t="s">
        <v>32</v>
      </c>
      <c r="AP14" s="1" t="s">
        <v>33</v>
      </c>
      <c r="AQ14" s="3" t="s">
        <v>34</v>
      </c>
    </row>
    <row r="15" customFormat="false" ht="12.8" hidden="false" customHeight="false" outlineLevel="0" collapsed="false">
      <c r="A15" s="1" t="s">
        <v>35</v>
      </c>
      <c r="B15" s="1" t="n">
        <f aca="false">SUM(B8:B14)/COUNT(B8:B14)</f>
        <v>280.571428571429</v>
      </c>
      <c r="C15" s="1" t="n">
        <f aca="false">B15*10</f>
        <v>2805.71428571429</v>
      </c>
      <c r="D15" s="1" t="n">
        <f aca="false">C15/2*B5^3</f>
        <v>32.9903806596428</v>
      </c>
      <c r="E15" s="1"/>
      <c r="F15" s="1" t="s">
        <v>16</v>
      </c>
      <c r="G15" s="1"/>
      <c r="I15" s="1" t="s">
        <v>17</v>
      </c>
      <c r="L15" s="1"/>
      <c r="M15" s="1"/>
      <c r="N15" s="1" t="s">
        <v>36</v>
      </c>
      <c r="Q15" s="1" t="s">
        <v>37</v>
      </c>
      <c r="R15" s="1"/>
      <c r="S15" s="1"/>
      <c r="T15" s="1"/>
      <c r="U15" s="1"/>
      <c r="V15" s="1" t="n">
        <v>6</v>
      </c>
      <c r="W15" s="1" t="n">
        <f aca="false">X15/10</f>
        <v>1.99</v>
      </c>
      <c r="X15" s="1" t="n">
        <v>19.9</v>
      </c>
      <c r="Y15" s="1"/>
      <c r="Z15" s="1"/>
      <c r="AA15" s="1"/>
      <c r="AB15" s="1"/>
      <c r="AD15" s="1" t="n">
        <v>4</v>
      </c>
      <c r="AE15" s="1" t="n">
        <f aca="false">1*2*$B$5</f>
        <v>0.573</v>
      </c>
      <c r="AF15" s="1" t="n">
        <v>0.319</v>
      </c>
      <c r="AG15" s="1" t="n">
        <f aca="false">AF15*$C$23*AE15</f>
        <v>179.252813355</v>
      </c>
      <c r="AH15" s="1"/>
      <c r="AI15" s="1" t="n">
        <f aca="false">AI11/O20</f>
        <v>0.479751469448138</v>
      </c>
      <c r="AJ15" s="1" t="n">
        <f aca="false">SQRT(AI15^2+Z14^2)</f>
        <v>0.50588251874438</v>
      </c>
      <c r="AK15" s="1" t="n">
        <f aca="false">ATAN(AI15/Z14)</f>
        <v>1.24797963642269</v>
      </c>
      <c r="AL15" s="1" t="n">
        <f aca="false">AK15*180/PI()</f>
        <v>71.5039660852911</v>
      </c>
    </row>
    <row r="16" customFormat="false" ht="12.8" hidden="false" customHeight="false" outlineLevel="0" collapsed="false">
      <c r="A16" s="1" t="s">
        <v>28</v>
      </c>
      <c r="B16" s="1" t="n">
        <f aca="false">_xlfn.STDEV.S(B8:B14)/SQRT(COUNT(B8:B14))</f>
        <v>17.6174387939866</v>
      </c>
      <c r="C16" s="1" t="n">
        <f aca="false">B16*10</f>
        <v>176.174387939866</v>
      </c>
      <c r="D16" s="1" t="n">
        <f aca="false">D15*SQRT(C17^2+(3*D5)^2)/100</f>
        <v>2.07869669136624</v>
      </c>
      <c r="E16" s="1"/>
      <c r="F16" s="1" t="n">
        <f aca="false">SQRT(D2*C23*G12^4/6)</f>
        <v>54.8980502020358</v>
      </c>
      <c r="G16" s="1" t="n">
        <f aca="false">F16*SQRT((F2/2)^2+(2*I12)^2)/100</f>
        <v>5.0527428386852</v>
      </c>
      <c r="H16" s="1" t="n">
        <f aca="false">G16/F16*100</f>
        <v>9.20386574767245</v>
      </c>
      <c r="I16" s="1" t="n">
        <f aca="false">2/B5^3*SQRT(D2*C23*G12^4/6)</f>
        <v>4668.88349360984</v>
      </c>
      <c r="J16" s="1" t="n">
        <f aca="false">I16*SQRT((F2/2)^2+(2*I12)^2+(3*D5)^2)/100</f>
        <v>430.412465190577</v>
      </c>
      <c r="K16" s="1" t="n">
        <f aca="false">J16/I16*100</f>
        <v>9.21874503357537</v>
      </c>
      <c r="L16" s="1"/>
      <c r="M16" s="1"/>
      <c r="N16" s="1" t="n">
        <f aca="false">Q11/(4/3*PI()*$B$5^3)</f>
        <v>770.660561690374</v>
      </c>
      <c r="O16" s="4" t="n">
        <f aca="false">N16*SQRT(Q13^2+(3*$D$5)^2)/100</f>
        <v>22.3485057528461</v>
      </c>
      <c r="P16" s="4" t="n">
        <f aca="false">O16/N16*100</f>
        <v>2.89991558719791</v>
      </c>
      <c r="Q16" s="1" t="n">
        <f aca="false">4*PI()*N16</f>
        <v>9684.40623607144</v>
      </c>
      <c r="R16" s="1" t="n">
        <f aca="false">Q16*P16/100</f>
        <v>280.839605967402</v>
      </c>
      <c r="S16" s="1" t="n">
        <f aca="false">P16</f>
        <v>2.89991558719791</v>
      </c>
      <c r="T16" s="1"/>
      <c r="U16" s="1"/>
      <c r="V16" s="1" t="n">
        <v>4</v>
      </c>
      <c r="W16" s="1" t="n">
        <f aca="false">X16/10</f>
        <v>1.35</v>
      </c>
      <c r="X16" s="1" t="n">
        <v>13.5</v>
      </c>
      <c r="Y16" s="1"/>
      <c r="Z16" s="1"/>
      <c r="AA16" s="1"/>
      <c r="AB16" s="1"/>
      <c r="AD16" s="1"/>
      <c r="AE16" s="1"/>
      <c r="AF16" s="1"/>
      <c r="AG16" s="1"/>
      <c r="AH16" s="1"/>
      <c r="AI16" s="1" t="n">
        <f aca="false">AI15*SQRT(AK11^2+Q20^2)/100</f>
        <v>0.0521233116535836</v>
      </c>
      <c r="AJ16" s="1" t="n">
        <f aca="false">1/AJ15*SQRT((Z14*AA14)^2+(AI15*AI16)^2)</f>
        <v>0.0495271059115569</v>
      </c>
      <c r="AK16" s="1" t="n">
        <f aca="false">1/AJ15^2*SQRT((AI15*AA14)^2+(Z14*AI16)^2)</f>
        <v>0.037427276013708</v>
      </c>
      <c r="AL16" s="1" t="n">
        <f aca="false">AK16*180/PI()</f>
        <v>2.14442495425669</v>
      </c>
      <c r="AP16" s="2" t="n">
        <v>71.8216</v>
      </c>
    </row>
    <row r="17" customFormat="false" ht="12.8" hidden="false" customHeight="false" outlineLevel="0" collapsed="false">
      <c r="A17" s="1"/>
      <c r="B17" s="1" t="n">
        <f aca="false">B16/B15*100</f>
        <v>6.27912787973046</v>
      </c>
      <c r="C17" s="1" t="n">
        <f aca="false">C16/C15*100</f>
        <v>6.27912787973046</v>
      </c>
      <c r="D17" s="1" t="n">
        <f aca="false">D16/D15*100</f>
        <v>6.30091756991793</v>
      </c>
      <c r="E17" s="1"/>
      <c r="F17" s="1"/>
      <c r="I17" s="1"/>
      <c r="J17" s="1"/>
      <c r="K17" s="1"/>
      <c r="L17" s="1"/>
      <c r="M17" s="1"/>
      <c r="N17" s="1"/>
      <c r="P17" s="1"/>
      <c r="Q17" s="1"/>
      <c r="R17" s="1"/>
      <c r="S17" s="1"/>
      <c r="T17" s="1"/>
      <c r="U17" s="1"/>
      <c r="V17" s="1" t="n">
        <v>3</v>
      </c>
      <c r="W17" s="1" t="n">
        <f aca="false">X17/10</f>
        <v>1.059</v>
      </c>
      <c r="X17" s="1" t="n">
        <v>10.59</v>
      </c>
      <c r="Y17" s="1"/>
      <c r="Z17" s="1"/>
      <c r="AA17" s="1"/>
      <c r="AB17" s="1"/>
      <c r="AD17" s="1"/>
      <c r="AE17" s="1"/>
      <c r="AF17" s="1"/>
      <c r="AG17" s="1"/>
      <c r="AH17" s="1"/>
      <c r="AI17" s="1" t="n">
        <f aca="false">AI16/AI15*100</f>
        <v>10.8646486718512</v>
      </c>
      <c r="AJ17" s="1" t="n">
        <f aca="false">AJ16/AJ15*100</f>
        <v>9.79023865748219</v>
      </c>
      <c r="AK17" s="1" t="n">
        <f aca="false">AK16/AK15*100</f>
        <v>2.99902938488584</v>
      </c>
      <c r="AL17" s="1" t="n">
        <f aca="false">AK17</f>
        <v>2.99902938488584</v>
      </c>
    </row>
    <row r="18" customFormat="false" ht="12.8" hidden="false" customHeight="false" outlineLevel="0" collapsed="false">
      <c r="A18" s="1"/>
      <c r="B18" s="1"/>
      <c r="C18" s="1"/>
      <c r="E18" s="1"/>
      <c r="F18" s="1" t="s">
        <v>36</v>
      </c>
      <c r="I18" s="1" t="s">
        <v>37</v>
      </c>
      <c r="J18" s="1"/>
      <c r="K18" s="1"/>
      <c r="L18" s="1"/>
      <c r="M18" s="1"/>
      <c r="N18" s="1"/>
      <c r="P18" s="1"/>
      <c r="Q18" s="1"/>
      <c r="R18" s="1"/>
      <c r="S18" s="1"/>
      <c r="T18" s="1"/>
      <c r="U18" s="1"/>
      <c r="W18" s="1"/>
      <c r="X18" s="1"/>
      <c r="Y18" s="1"/>
      <c r="Z18" s="1"/>
      <c r="AA18" s="1"/>
      <c r="AB18" s="1"/>
      <c r="AD18" s="1"/>
      <c r="AE18" s="1"/>
      <c r="AF18" s="1"/>
      <c r="AG18" s="1"/>
      <c r="AH18" s="1"/>
      <c r="AI18" s="1"/>
      <c r="AP18" s="1" t="s">
        <v>38</v>
      </c>
      <c r="AQ18" s="1" t="s">
        <v>39</v>
      </c>
    </row>
    <row r="19" customFormat="false" ht="12.8" hidden="false" customHeight="false" outlineLevel="0" collapsed="false">
      <c r="A19" s="1"/>
      <c r="B19" s="1"/>
      <c r="C19" s="1"/>
      <c r="E19" s="1"/>
      <c r="F19" s="1" t="n">
        <f aca="false">F16/(4/3*PI()*B5^3)</f>
        <v>557.306915046123</v>
      </c>
      <c r="G19" s="1" t="n">
        <f aca="false">F19*SQRT(H16^2+(3*$D$5)^2)/100</f>
        <v>51.3767035525865</v>
      </c>
      <c r="H19" s="1" t="n">
        <f aca="false">G19/F19*100</f>
        <v>9.21874503357536</v>
      </c>
      <c r="I19" s="1" t="n">
        <f aca="false">4*PI()*F19</f>
        <v>7003.32524041477</v>
      </c>
      <c r="J19" s="1" t="n">
        <f aca="false">I19*H19/100</f>
        <v>645.618697785866</v>
      </c>
      <c r="K19" s="1" t="n">
        <f aca="false">H19</f>
        <v>9.21874503357536</v>
      </c>
      <c r="L19" s="1"/>
      <c r="M19" s="1" t="s">
        <v>40</v>
      </c>
      <c r="N19" s="1" t="s">
        <v>41</v>
      </c>
      <c r="O19" s="1" t="s">
        <v>42</v>
      </c>
      <c r="P19" s="1"/>
      <c r="Q19" s="1"/>
      <c r="R19" s="1"/>
      <c r="S19" s="1"/>
      <c r="T19" s="1"/>
      <c r="U19" s="1"/>
      <c r="W19" s="1"/>
      <c r="X19" s="1"/>
      <c r="Y19" s="1"/>
      <c r="Z19" s="1"/>
      <c r="AA19" s="1"/>
      <c r="AB19" s="1"/>
      <c r="AD19" s="1"/>
      <c r="AE19" s="1"/>
      <c r="AF19" s="1"/>
      <c r="AG19" s="1"/>
      <c r="AH19" s="1" t="s">
        <v>43</v>
      </c>
      <c r="AI19" s="1" t="s">
        <v>44</v>
      </c>
      <c r="AP19" s="2" t="n">
        <v>16.5599</v>
      </c>
      <c r="AQ19" s="2" t="n">
        <v>50.4311</v>
      </c>
      <c r="AR19" s="2" t="n">
        <v>53.0804</v>
      </c>
    </row>
    <row r="20" customFormat="false" ht="12.8" hidden="false" customHeight="false" outlineLevel="0" collapsed="false">
      <c r="A20" s="1"/>
      <c r="B20" s="1"/>
      <c r="C20" s="1" t="s">
        <v>45</v>
      </c>
      <c r="E20" s="1"/>
      <c r="F20" s="1"/>
      <c r="I20" s="1"/>
      <c r="J20" s="1"/>
      <c r="K20" s="1"/>
      <c r="L20" s="1"/>
      <c r="M20" s="1" t="n">
        <f aca="false">1/G16^2</f>
        <v>0.0391692818980212</v>
      </c>
      <c r="N20" s="1" t="n">
        <f aca="false">1/Q12^2</f>
        <v>0.213289808163113</v>
      </c>
      <c r="O20" s="1" t="n">
        <f aca="false">(M20*F16+Q11*N20 + M23*D15)/(M20+N20+M23)</f>
        <v>53.6840460950045</v>
      </c>
      <c r="P20" s="1" t="n">
        <f aca="false">1/3*SQRT(G16^2+Q12^2+D17^2)</f>
        <v>2.78727722528934</v>
      </c>
      <c r="Q20" s="1" t="n">
        <f aca="false">P20/O20*100</f>
        <v>5.19200289105762</v>
      </c>
      <c r="R20" s="1"/>
      <c r="S20" s="1"/>
      <c r="T20" s="1"/>
      <c r="U20" s="1"/>
      <c r="W20" s="1"/>
      <c r="X20" s="1"/>
      <c r="Y20" s="1"/>
      <c r="Z20" s="1"/>
      <c r="AA20" s="1"/>
      <c r="AB20" s="1"/>
      <c r="AD20" s="1"/>
      <c r="AE20" s="1"/>
      <c r="AF20" s="1"/>
      <c r="AG20" s="1"/>
      <c r="AH20" s="1" t="n">
        <f aca="false">ATAN(1/2*AI15/Z14)</f>
        <v>0.981154724637138</v>
      </c>
      <c r="AI20" s="1" t="n">
        <f aca="false">Z14/COS(AH20)</f>
        <v>0.288610496071992</v>
      </c>
    </row>
    <row r="21" customFormat="false" ht="12.8" hidden="false" customHeight="false" outlineLevel="0" collapsed="false">
      <c r="A21" s="1"/>
      <c r="B21" s="1"/>
      <c r="C21" s="1"/>
      <c r="E21" s="1"/>
      <c r="F21" s="1"/>
      <c r="I21" s="1"/>
      <c r="J21" s="1"/>
      <c r="K21" s="1"/>
      <c r="L21" s="1"/>
      <c r="M21" s="1"/>
      <c r="N21" s="1"/>
      <c r="P21" s="1"/>
      <c r="Q21" s="1"/>
      <c r="R21" s="1"/>
      <c r="W21" s="1"/>
      <c r="X21" s="1"/>
      <c r="Y21" s="1"/>
      <c r="Z21" s="1"/>
      <c r="AA21" s="1"/>
      <c r="AB21" s="1"/>
      <c r="AD21" s="1"/>
      <c r="AE21" s="1"/>
      <c r="AF21" s="1" t="s">
        <v>46</v>
      </c>
      <c r="AG21" s="1"/>
      <c r="AH21" s="1" t="n">
        <f aca="false">2/(4*Z14^2+AI15^2)*SQRT((AI15*AA14)^2+(Z14*AI16)^2)</f>
        <v>0.0574954299715635</v>
      </c>
      <c r="AI21" s="1" t="n">
        <f aca="false">AI20*SQRT((AB14/100)^2+(1/2*AI15/Z14*AH21)^2)</f>
        <v>0.0303488981875369</v>
      </c>
    </row>
    <row r="22" customFormat="false" ht="12.8" hidden="false" customHeight="false" outlineLevel="0" collapsed="false">
      <c r="A22" s="1"/>
      <c r="B22" s="1"/>
      <c r="C22" s="1" t="s">
        <v>47</v>
      </c>
      <c r="E22" s="1"/>
      <c r="F22" s="1"/>
      <c r="M22" s="0" t="s">
        <v>48</v>
      </c>
      <c r="AD22" s="1"/>
      <c r="AF22" s="5" t="n">
        <f aca="false">6.371*10^8</f>
        <v>637100000</v>
      </c>
      <c r="AH22" s="1" t="n">
        <f aca="false">AH21/AH20*100</f>
        <v>5.85997585577821</v>
      </c>
      <c r="AI22" s="1" t="n">
        <f aca="false">AI21/AI20*100</f>
        <v>10.5155212996712</v>
      </c>
    </row>
    <row r="23" customFormat="false" ht="12.8" hidden="false" customHeight="false" outlineLevel="0" collapsed="false">
      <c r="A23" s="1"/>
      <c r="B23" s="1"/>
      <c r="C23" s="1" t="n">
        <v>980.665</v>
      </c>
      <c r="E23" s="1"/>
      <c r="F23" s="1"/>
      <c r="M23" s="0" t="n">
        <f aca="false">1/D16^2</f>
        <v>0.231428984886072</v>
      </c>
      <c r="AD23" s="1"/>
    </row>
    <row r="24" customFormat="false" ht="12.8" hidden="false" customHeight="false" outlineLevel="0" collapsed="false">
      <c r="A24" s="1"/>
      <c r="B24" s="1"/>
      <c r="C24" s="1"/>
      <c r="E24" s="1"/>
      <c r="F24" s="1"/>
    </row>
    <row r="25" customFormat="false" ht="12.8" hidden="false" customHeight="false" outlineLevel="0" collapsed="false">
      <c r="A25" s="1"/>
      <c r="B25" s="1"/>
      <c r="C25" s="1"/>
      <c r="E25" s="1"/>
      <c r="F25" s="1"/>
      <c r="AK25" s="1" t="s">
        <v>49</v>
      </c>
    </row>
    <row r="26" customFormat="false" ht="12.8" hidden="false" customHeight="false" outlineLevel="0" collapsed="false">
      <c r="A26" s="1"/>
      <c r="B26" s="1"/>
      <c r="C26" s="1"/>
      <c r="E26" s="1"/>
      <c r="F26" s="1"/>
      <c r="I26" s="1"/>
      <c r="J26" s="1"/>
      <c r="P26" s="1"/>
      <c r="Q26" s="1"/>
      <c r="W26" s="1"/>
      <c r="X26" s="1"/>
      <c r="Z26" s="1" t="s">
        <v>29</v>
      </c>
      <c r="AB26" s="1" t="s">
        <v>30</v>
      </c>
      <c r="AD26" s="1" t="s">
        <v>31</v>
      </c>
      <c r="AF26" s="1" t="s">
        <v>50</v>
      </c>
      <c r="AH26" s="1" t="s">
        <v>49</v>
      </c>
      <c r="AK26" s="1" t="n">
        <f aca="false">AI20*AF22^3</f>
        <v>7.46336938198147E+025</v>
      </c>
      <c r="AL26" s="1" t="n">
        <f aca="false">AK26*AI22/100</f>
        <v>7.84812197035397E+024</v>
      </c>
      <c r="AM26" s="1" t="n">
        <f aca="false">AI22</f>
        <v>10.5155212996712</v>
      </c>
    </row>
    <row r="27" customFormat="false" ht="12.8" hidden="false" customHeight="false" outlineLevel="0" collapsed="false">
      <c r="A27" s="1"/>
      <c r="B27" s="1"/>
      <c r="C27" s="1" t="s">
        <v>36</v>
      </c>
      <c r="F27" s="1" t="s">
        <v>37</v>
      </c>
      <c r="G27" s="1"/>
      <c r="H27" s="1"/>
      <c r="I27" s="1"/>
      <c r="J27" s="1"/>
      <c r="P27" s="1"/>
      <c r="Q27" s="1"/>
      <c r="W27" s="1"/>
      <c r="X27" s="1"/>
      <c r="Y27" s="0" t="s">
        <v>51</v>
      </c>
      <c r="Z27" s="6" t="n">
        <f aca="false">Z14</f>
        <v>0.160485670181202</v>
      </c>
      <c r="AA27" s="6" t="n">
        <f aca="false">AA14</f>
        <v>0.00972540801839094</v>
      </c>
      <c r="AB27" s="6" t="n">
        <f aca="false">AI15</f>
        <v>0.479751469448138</v>
      </c>
      <c r="AC27" s="6" t="n">
        <f aca="false">AI16</f>
        <v>0.0521233116535836</v>
      </c>
      <c r="AD27" s="7" t="n">
        <f aca="false">AJ15</f>
        <v>0.50588251874438</v>
      </c>
      <c r="AE27" s="7" t="n">
        <f aca="false">AJ16</f>
        <v>0.0495271059115569</v>
      </c>
      <c r="AF27" s="8" t="n">
        <f aca="false">AL15</f>
        <v>71.5039660852911</v>
      </c>
      <c r="AG27" s="8" t="n">
        <f aca="false">AL16</f>
        <v>2.14442495425669</v>
      </c>
      <c r="AH27" s="9" t="n">
        <f aca="false">AK26</f>
        <v>7.46336938198147E+025</v>
      </c>
      <c r="AI27" s="9" t="n">
        <f aca="false">AL26</f>
        <v>7.84812197035397E+024</v>
      </c>
    </row>
    <row r="28" customFormat="false" ht="12.8" hidden="false" customHeight="false" outlineLevel="0" collapsed="false">
      <c r="A28" s="1"/>
      <c r="B28" s="1"/>
      <c r="C28" s="1" t="n">
        <f aca="false">D15/(4/3*PI()*B5^3)</f>
        <v>334.907473106231</v>
      </c>
      <c r="D28" s="0" t="n">
        <f aca="false">C28*SQRT(D17^2+(3*$D$5)^2)/100</f>
        <v>21.1749676234035</v>
      </c>
      <c r="E28" s="1" t="n">
        <f aca="false">D28/C28*100</f>
        <v>6.32263216673188</v>
      </c>
      <c r="F28" s="1" t="n">
        <f aca="false">4*PI()*C28</f>
        <v>4208.57142857142</v>
      </c>
      <c r="G28" s="1" t="n">
        <f aca="false">F28*E28/100</f>
        <v>266.092490902744</v>
      </c>
      <c r="H28" s="1" t="n">
        <f aca="false">E28</f>
        <v>6.32263216673188</v>
      </c>
      <c r="I28" s="1"/>
      <c r="J28" s="1"/>
      <c r="P28" s="1"/>
      <c r="Q28" s="1"/>
      <c r="W28" s="1"/>
      <c r="X28" s="1"/>
      <c r="Y28" s="0" t="s">
        <v>52</v>
      </c>
      <c r="Z28" s="0" t="n">
        <f aca="false">AP19/100</f>
        <v>0.165599</v>
      </c>
      <c r="AB28" s="0" t="n">
        <f aca="false">AQ19/100</f>
        <v>0.504311</v>
      </c>
      <c r="AD28" s="1" t="n">
        <f aca="false">AR19/100</f>
        <v>0.530804</v>
      </c>
      <c r="AE28" s="1"/>
      <c r="AF28" s="0" t="n">
        <f aca="false">AP16</f>
        <v>71.8216</v>
      </c>
      <c r="AH28" s="0" t="n">
        <f aca="false">AK29</f>
        <v>7.7E+025</v>
      </c>
      <c r="AK28" s="1" t="s">
        <v>53</v>
      </c>
    </row>
    <row r="29" customFormat="false" ht="12.8" hidden="false" customHeight="false" outlineLevel="0" collapsed="false">
      <c r="A29" s="1"/>
      <c r="B29" s="1"/>
      <c r="C29" s="1"/>
      <c r="I29" s="1"/>
      <c r="J29" s="1"/>
      <c r="P29" s="1"/>
      <c r="Q29" s="1"/>
      <c r="W29" s="1"/>
      <c r="X29" s="1"/>
      <c r="AD29" s="1"/>
      <c r="AE29" s="1"/>
      <c r="AK29" s="1" t="n">
        <f aca="false">7.7*10^25</f>
        <v>7.7E+025</v>
      </c>
    </row>
    <row r="30" customFormat="false" ht="12.65" hidden="false" customHeight="true" outlineLevel="0" collapsed="false">
      <c r="A30" s="1"/>
      <c r="B30" s="1"/>
      <c r="C30" s="1"/>
      <c r="I30" s="1"/>
      <c r="J30" s="1"/>
      <c r="P30" s="1"/>
      <c r="Q30" s="1"/>
      <c r="W30" s="1"/>
      <c r="X30" s="1"/>
      <c r="AD30" s="1"/>
      <c r="AE30" s="1"/>
    </row>
    <row r="31" customFormat="false" ht="12.8" hidden="false" customHeight="false" outlineLevel="0" collapsed="false">
      <c r="A31" s="1"/>
      <c r="B31" s="1"/>
      <c r="C31" s="1"/>
      <c r="I31" s="1"/>
      <c r="J31" s="1"/>
      <c r="P31" s="1"/>
      <c r="Q31" s="1"/>
      <c r="W31" s="1"/>
      <c r="X31" s="1"/>
      <c r="AD31" s="1"/>
      <c r="AE31" s="1"/>
    </row>
    <row r="32" customFormat="false" ht="12.8" hidden="false" customHeight="false" outlineLevel="0" collapsed="false">
      <c r="C32" s="0" t="s">
        <v>54</v>
      </c>
      <c r="D32" s="0" t="s">
        <v>55</v>
      </c>
      <c r="F32" s="0" t="s">
        <v>17</v>
      </c>
      <c r="H32" s="0" t="s">
        <v>56</v>
      </c>
      <c r="J32" s="0" t="s">
        <v>37</v>
      </c>
      <c r="P32" s="1"/>
      <c r="Q32" s="1"/>
      <c r="W32" s="1"/>
      <c r="X32" s="1"/>
      <c r="AD32" s="1"/>
      <c r="AE32" s="1"/>
    </row>
    <row r="33" customFormat="false" ht="12.8" hidden="false" customHeight="false" outlineLevel="0" collapsed="false">
      <c r="C33" s="0" t="s">
        <v>57</v>
      </c>
      <c r="D33" s="8" t="n">
        <f aca="false">D15</f>
        <v>32.9903806596428</v>
      </c>
      <c r="E33" s="8" t="n">
        <f aca="false">D16</f>
        <v>2.07869669136624</v>
      </c>
      <c r="F33" s="10" t="n">
        <f aca="false">C15</f>
        <v>2805.71428571429</v>
      </c>
      <c r="G33" s="10" t="n">
        <f aca="false">C16</f>
        <v>176.174387939866</v>
      </c>
      <c r="H33" s="11" t="n">
        <f aca="false">C28</f>
        <v>334.907473106231</v>
      </c>
      <c r="I33" s="12" t="n">
        <f aca="false">D28</f>
        <v>21.1749676234035</v>
      </c>
      <c r="J33" s="13" t="n">
        <f aca="false">F28</f>
        <v>4208.57142857142</v>
      </c>
      <c r="K33" s="10" t="n">
        <f aca="false">G28</f>
        <v>266.092490902744</v>
      </c>
      <c r="P33" s="1"/>
      <c r="Q33" s="1"/>
      <c r="W33" s="1"/>
      <c r="X33" s="1"/>
      <c r="AD33" s="1"/>
      <c r="AE33" s="1"/>
    </row>
    <row r="34" customFormat="false" ht="12.8" hidden="false" customHeight="false" outlineLevel="0" collapsed="false">
      <c r="B34" s="1"/>
      <c r="C34" s="1" t="s">
        <v>58</v>
      </c>
      <c r="D34" s="14" t="n">
        <f aca="false">F16</f>
        <v>54.8980502020358</v>
      </c>
      <c r="E34" s="14" t="n">
        <f aca="false">G16</f>
        <v>5.0527428386852</v>
      </c>
      <c r="F34" s="10" t="n">
        <f aca="false">I16</f>
        <v>4668.88349360984</v>
      </c>
      <c r="G34" s="10" t="n">
        <f aca="false">J16</f>
        <v>430.412465190577</v>
      </c>
      <c r="H34" s="11" t="n">
        <f aca="false">F19</f>
        <v>557.306915046123</v>
      </c>
      <c r="I34" s="11" t="n">
        <f aca="false">G19</f>
        <v>51.3767035525865</v>
      </c>
      <c r="J34" s="13" t="n">
        <f aca="false">I19</f>
        <v>7003.32524041477</v>
      </c>
      <c r="K34" s="13" t="n">
        <f aca="false">J19</f>
        <v>645.618697785866</v>
      </c>
      <c r="P34" s="1"/>
      <c r="Q34" s="1"/>
      <c r="W34" s="1"/>
      <c r="X34" s="1"/>
      <c r="AD34" s="1"/>
      <c r="AE34" s="1"/>
    </row>
    <row r="35" customFormat="false" ht="12.8" hidden="false" customHeight="false" outlineLevel="0" collapsed="false">
      <c r="A35" s="1"/>
      <c r="B35" s="15"/>
      <c r="C35" s="1" t="s">
        <v>59</v>
      </c>
      <c r="D35" s="14" t="n">
        <f aca="false">Q11</f>
        <v>75.914655035109</v>
      </c>
      <c r="E35" s="8" t="n">
        <f aca="false">Q12</f>
        <v>2.16528440597642</v>
      </c>
      <c r="F35" s="10" t="n">
        <f aca="false">R11</f>
        <v>6456.27082404763</v>
      </c>
      <c r="G35" s="10" t="n">
        <f aca="false">R12</f>
        <v>187.226403978268</v>
      </c>
      <c r="H35" s="11" t="n">
        <f aca="false">N16</f>
        <v>770.660561690374</v>
      </c>
      <c r="I35" s="11" t="n">
        <f aca="false">O16</f>
        <v>22.3485057528461</v>
      </c>
      <c r="J35" s="13" t="n">
        <f aca="false">Q16</f>
        <v>9684.40623607144</v>
      </c>
      <c r="K35" s="13" t="n">
        <f aca="false">R16</f>
        <v>280.839605967402</v>
      </c>
      <c r="P35" s="1"/>
      <c r="Q35" s="1"/>
      <c r="W35" s="1"/>
      <c r="X35" s="1"/>
      <c r="AD35" s="1"/>
      <c r="AE35" s="1"/>
    </row>
    <row r="36" customFormat="false" ht="12.8" hidden="false" customHeight="false" outlineLevel="0" collapsed="false">
      <c r="A36" s="1"/>
      <c r="B36" s="15"/>
      <c r="C36" s="15"/>
      <c r="D36" s="1"/>
      <c r="I36" s="1"/>
      <c r="J36" s="1"/>
      <c r="P36" s="1"/>
      <c r="Q36" s="1"/>
      <c r="W36" s="1"/>
      <c r="X36" s="1"/>
      <c r="AD36" s="1"/>
      <c r="AE36" s="1"/>
    </row>
    <row r="37" customFormat="false" ht="12.8" hidden="false" customHeight="false" outlineLevel="0" collapsed="false">
      <c r="A37" s="1"/>
      <c r="B37" s="1"/>
      <c r="C37" s="1"/>
      <c r="D37" s="1"/>
      <c r="I37" s="1"/>
      <c r="J37" s="1"/>
      <c r="P37" s="1"/>
      <c r="Q37" s="1"/>
      <c r="W37" s="1"/>
      <c r="X37" s="1"/>
      <c r="AD37" s="1"/>
      <c r="AE37" s="1"/>
    </row>
    <row r="38" customFormat="false" ht="12.8" hidden="false" customHeight="false" outlineLevel="0" collapsed="false">
      <c r="I38" s="1"/>
      <c r="J38" s="1"/>
      <c r="P38" s="1"/>
      <c r="Q38" s="1"/>
      <c r="W38" s="1"/>
      <c r="X38" s="1"/>
      <c r="AD38" s="1"/>
      <c r="AE38" s="1"/>
    </row>
    <row r="39" customFormat="false" ht="12.8" hidden="false" customHeight="false" outlineLevel="0" collapsed="false">
      <c r="I39" s="1"/>
      <c r="J39" s="1"/>
      <c r="P39" s="1"/>
      <c r="Q39" s="1"/>
      <c r="W39" s="1"/>
      <c r="X39" s="1"/>
      <c r="AD39" s="1"/>
      <c r="AE39" s="1"/>
    </row>
    <row r="40" customFormat="false" ht="12.8" hidden="false" customHeight="false" outlineLevel="0" collapsed="false">
      <c r="I40" s="1"/>
      <c r="J40" s="1"/>
      <c r="P40" s="1"/>
      <c r="Q40" s="1"/>
      <c r="W40" s="1"/>
      <c r="X40" s="1"/>
      <c r="AD40" s="1"/>
      <c r="AE40" s="1"/>
    </row>
    <row r="41" customFormat="false" ht="12.8" hidden="false" customHeight="false" outlineLevel="0" collapsed="false">
      <c r="I41" s="1"/>
      <c r="J41" s="1"/>
      <c r="P41" s="1"/>
      <c r="Q41" s="1"/>
      <c r="W41" s="1"/>
      <c r="X41" s="1"/>
      <c r="AD41" s="1"/>
      <c r="AE41" s="1"/>
    </row>
    <row r="42" customFormat="false" ht="12.8" hidden="false" customHeight="false" outlineLevel="0" collapsed="false">
      <c r="I42" s="1"/>
      <c r="J42" s="1"/>
      <c r="P42" s="1"/>
      <c r="Q42" s="1"/>
      <c r="W42" s="1"/>
      <c r="X42" s="1"/>
      <c r="AD42" s="1"/>
      <c r="AE42" s="1"/>
    </row>
    <row r="43" customFormat="false" ht="12.8" hidden="false" customHeight="false" outlineLevel="0" collapsed="false">
      <c r="I43" s="1"/>
      <c r="J43" s="1"/>
      <c r="P43" s="1"/>
      <c r="Q43" s="1"/>
      <c r="W43" s="1"/>
      <c r="X43" s="1"/>
      <c r="AD43" s="1"/>
      <c r="AE43" s="1"/>
    </row>
    <row r="44" customFormat="false" ht="12.8" hidden="false" customHeight="false" outlineLevel="0" collapsed="false">
      <c r="I44" s="1"/>
      <c r="J44" s="1"/>
      <c r="P44" s="1"/>
      <c r="Q44" s="1"/>
      <c r="W44" s="1"/>
      <c r="X44" s="1"/>
      <c r="AD44" s="1"/>
      <c r="AE44" s="1"/>
    </row>
    <row r="45" customFormat="false" ht="12.8" hidden="false" customHeight="false" outlineLevel="0" collapsed="false">
      <c r="I45" s="1"/>
      <c r="J45" s="1"/>
      <c r="P45" s="1"/>
      <c r="Q45" s="1"/>
      <c r="W45" s="1"/>
      <c r="X45" s="1"/>
      <c r="AD45" s="1"/>
      <c r="AE45" s="1"/>
    </row>
    <row r="46" customFormat="false" ht="12.8" hidden="false" customHeight="false" outlineLevel="0" collapsed="false">
      <c r="I46" s="1"/>
      <c r="J46" s="1"/>
      <c r="P46" s="1"/>
      <c r="Q46" s="1"/>
      <c r="W46" s="1"/>
      <c r="X46" s="1"/>
      <c r="AD46" s="1"/>
      <c r="AE46" s="1"/>
    </row>
    <row r="47" customFormat="false" ht="12.8" hidden="false" customHeight="false" outlineLevel="0" collapsed="false">
      <c r="I47" s="1"/>
      <c r="J47" s="1"/>
      <c r="P47" s="1"/>
      <c r="Q47" s="1"/>
      <c r="W47" s="1"/>
      <c r="X47" s="1"/>
      <c r="AD47" s="1"/>
      <c r="AE47" s="1"/>
    </row>
    <row r="48" customFormat="false" ht="12.8" hidden="false" customHeight="false" outlineLevel="0" collapsed="false">
      <c r="I48" s="1"/>
      <c r="J48" s="1"/>
      <c r="W48" s="1"/>
      <c r="X48" s="1"/>
      <c r="AD48" s="1"/>
      <c r="AE48" s="1"/>
    </row>
    <row r="50" customFormat="false" ht="12.8" hidden="false" customHeight="false" outlineLevel="0" collapsed="false">
      <c r="H50" s="16"/>
      <c r="I50" s="17"/>
      <c r="J50" s="17"/>
      <c r="K50" s="17"/>
      <c r="L50" s="18"/>
      <c r="M50" s="19"/>
      <c r="N50" s="20"/>
      <c r="O50" s="16"/>
      <c r="P50" s="17"/>
      <c r="Q50" s="17"/>
      <c r="R50" s="17"/>
      <c r="S50" s="18"/>
      <c r="T50" s="19"/>
      <c r="U50" s="20"/>
      <c r="V50" s="16"/>
      <c r="W50" s="17"/>
      <c r="X50" s="17"/>
      <c r="Y50" s="17"/>
      <c r="Z50" s="18"/>
      <c r="AA50" s="19"/>
      <c r="AB50" s="20"/>
      <c r="AC50" s="16"/>
      <c r="AD50" s="17"/>
      <c r="AE50" s="17"/>
      <c r="AF50" s="17"/>
      <c r="AG50" s="18"/>
      <c r="AH50" s="19"/>
      <c r="AI50" s="20"/>
    </row>
    <row r="51" customFormat="false" ht="12.8" hidden="false" customHeight="false" outlineLevel="0" collapsed="false">
      <c r="H51" s="21"/>
      <c r="I51" s="15"/>
      <c r="J51" s="15"/>
      <c r="K51" s="22"/>
      <c r="L51" s="15"/>
      <c r="M51" s="15"/>
      <c r="N51" s="22"/>
      <c r="O51" s="21"/>
      <c r="P51" s="15"/>
      <c r="Q51" s="15"/>
      <c r="R51" s="22"/>
      <c r="S51" s="15"/>
      <c r="T51" s="15"/>
      <c r="U51" s="22"/>
      <c r="V51" s="21"/>
      <c r="W51" s="15"/>
      <c r="X51" s="15"/>
      <c r="Y51" s="22"/>
      <c r="Z51" s="15"/>
      <c r="AA51" s="15"/>
      <c r="AB51" s="22"/>
      <c r="AC51" s="21"/>
      <c r="AD51" s="15"/>
      <c r="AE51" s="15"/>
      <c r="AF51" s="22"/>
      <c r="AG51" s="15"/>
      <c r="AH51" s="15"/>
      <c r="AI51" s="22"/>
    </row>
    <row r="52" customFormat="false" ht="12.8" hidden="false" customHeight="false" outlineLevel="0" collapsed="false">
      <c r="H52" s="21"/>
      <c r="I52" s="15"/>
      <c r="J52" s="15"/>
      <c r="K52" s="22"/>
      <c r="L52" s="15"/>
      <c r="M52" s="15"/>
      <c r="N52" s="22"/>
      <c r="O52" s="21"/>
      <c r="P52" s="15"/>
      <c r="Q52" s="15"/>
      <c r="R52" s="22"/>
      <c r="S52" s="15"/>
      <c r="T52" s="15"/>
      <c r="U52" s="22"/>
      <c r="V52" s="21"/>
      <c r="W52" s="15"/>
      <c r="X52" s="15"/>
      <c r="Y52" s="22"/>
      <c r="Z52" s="15"/>
      <c r="AA52" s="15"/>
      <c r="AB52" s="22"/>
      <c r="AC52" s="21"/>
      <c r="AD52" s="15"/>
      <c r="AE52" s="15"/>
      <c r="AF52" s="22"/>
      <c r="AG52" s="15"/>
      <c r="AH52" s="15"/>
      <c r="AI52" s="22"/>
    </row>
    <row r="53" customFormat="false" ht="12.8" hidden="false" customHeight="false" outlineLevel="0" collapsed="false">
      <c r="H53" s="23"/>
      <c r="I53" s="24"/>
      <c r="J53" s="24"/>
      <c r="K53" s="25"/>
      <c r="L53" s="24"/>
      <c r="M53" s="24"/>
      <c r="N53" s="25"/>
      <c r="O53" s="23"/>
      <c r="P53" s="24"/>
      <c r="Q53" s="24"/>
      <c r="R53" s="25"/>
      <c r="S53" s="24"/>
      <c r="T53" s="24"/>
      <c r="U53" s="25"/>
      <c r="V53" s="23"/>
      <c r="W53" s="24"/>
      <c r="X53" s="24"/>
      <c r="Y53" s="25"/>
      <c r="Z53" s="24"/>
      <c r="AA53" s="24"/>
      <c r="AB53" s="25"/>
      <c r="AC53" s="23"/>
      <c r="AD53" s="24"/>
      <c r="AE53" s="24"/>
      <c r="AF53" s="25"/>
      <c r="AG53" s="24"/>
      <c r="AH53" s="24"/>
      <c r="AI53" s="25"/>
    </row>
    <row r="55" customFormat="false" ht="12.8" hidden="false" customHeight="false" outlineLevel="0" collapsed="false">
      <c r="H55" s="1"/>
      <c r="I55" s="1"/>
      <c r="O55" s="1"/>
      <c r="P55" s="1"/>
      <c r="V55" s="1"/>
      <c r="W55" s="1"/>
      <c r="AC55" s="1"/>
      <c r="AD55" s="1"/>
    </row>
    <row r="56" customFormat="false" ht="12.8" hidden="false" customHeight="false" outlineLevel="0" collapsed="false">
      <c r="H56" s="1"/>
      <c r="I56" s="1"/>
      <c r="J56" s="1"/>
      <c r="O56" s="1"/>
      <c r="P56" s="1"/>
      <c r="Q56" s="1"/>
      <c r="V56" s="1"/>
      <c r="W56" s="1"/>
      <c r="X56" s="1"/>
      <c r="AC56" s="1"/>
      <c r="AD56" s="1"/>
      <c r="AE56" s="1"/>
    </row>
    <row r="57" customFormat="false" ht="12.8" hidden="false" customHeight="false" outlineLevel="0" collapsed="false">
      <c r="H57" s="1"/>
      <c r="I57" s="1"/>
      <c r="J57" s="1"/>
      <c r="O57" s="1"/>
      <c r="P57" s="1"/>
      <c r="Q57" s="1"/>
      <c r="V57" s="1"/>
      <c r="W57" s="1"/>
      <c r="X57" s="1"/>
      <c r="AC57" s="1"/>
      <c r="AD57" s="1"/>
      <c r="AE57" s="1"/>
    </row>
    <row r="59" customFormat="false" ht="12.8" hidden="false" customHeight="false" outlineLevel="0" collapsed="false">
      <c r="H59" s="1"/>
      <c r="O59" s="1"/>
      <c r="V59" s="1"/>
      <c r="AC59" s="1"/>
    </row>
    <row r="60" customFormat="false" ht="12.8" hidden="false" customHeight="false" outlineLevel="0" collapsed="false">
      <c r="H60" s="26"/>
      <c r="I60" s="26"/>
      <c r="J60" s="1"/>
      <c r="O60" s="26"/>
      <c r="P60" s="26"/>
      <c r="Q60" s="1"/>
      <c r="V60" s="26"/>
      <c r="W60" s="26"/>
      <c r="X60" s="1"/>
      <c r="AC60" s="26"/>
      <c r="AD60" s="26"/>
      <c r="AE60" s="1"/>
    </row>
    <row r="62" customFormat="false" ht="12.8" hidden="false" customHeight="false" outlineLevel="0" collapsed="false">
      <c r="H62" s="1"/>
      <c r="O62" s="1"/>
      <c r="V62" s="1"/>
      <c r="AC62" s="1"/>
    </row>
    <row r="63" customFormat="false" ht="12.8" hidden="false" customHeight="false" outlineLevel="0" collapsed="false">
      <c r="H63" s="1"/>
      <c r="I63" s="1"/>
      <c r="J63" s="1"/>
      <c r="O63" s="1"/>
      <c r="P63" s="1"/>
      <c r="Q63" s="1"/>
      <c r="V63" s="1"/>
      <c r="W63" s="1"/>
      <c r="X63" s="1"/>
      <c r="AC63" s="1"/>
      <c r="AD63" s="1"/>
      <c r="AE63" s="1"/>
    </row>
    <row r="66" customFormat="false" ht="12.8" hidden="false" customHeight="false" outlineLevel="0" collapsed="false">
      <c r="H66" s="1"/>
      <c r="O66" s="1"/>
      <c r="V66" s="1"/>
      <c r="AC66" s="1"/>
    </row>
    <row r="67" customFormat="false" ht="12.8" hidden="false" customHeight="false" outlineLevel="0" collapsed="false">
      <c r="H67" s="1"/>
      <c r="I67" s="1"/>
      <c r="J67" s="1"/>
      <c r="O67" s="1"/>
      <c r="P67" s="1"/>
      <c r="Q67" s="1"/>
      <c r="V67" s="1"/>
      <c r="W67" s="1"/>
      <c r="X67" s="1"/>
      <c r="AC67" s="1"/>
      <c r="AD67" s="1"/>
      <c r="AE67" s="1"/>
    </row>
    <row r="69" customFormat="false" ht="12.8" hidden="false" customHeight="true" outlineLevel="0" collapsed="false">
      <c r="H69" s="1"/>
      <c r="O69" s="1"/>
      <c r="V69" s="1"/>
      <c r="AC69" s="1"/>
    </row>
    <row r="70" customFormat="false" ht="12.8" hidden="false" customHeight="true" outlineLevel="0" collapsed="false">
      <c r="A70" s="1"/>
      <c r="B70" s="1"/>
      <c r="C70" s="1"/>
      <c r="D70" s="1"/>
      <c r="E70" s="1"/>
      <c r="H70" s="1"/>
      <c r="I70" s="1"/>
      <c r="J70" s="1"/>
      <c r="O70" s="1"/>
      <c r="P70" s="1"/>
      <c r="Q70" s="1"/>
      <c r="V70" s="1"/>
      <c r="W70" s="1"/>
      <c r="X70" s="1"/>
      <c r="AC70" s="1"/>
      <c r="AD70" s="1"/>
      <c r="AE70" s="1"/>
    </row>
    <row r="71" customFormat="false" ht="12.8" hidden="false" customHeight="true" outlineLevel="0" collapsed="false">
      <c r="A71" s="27"/>
      <c r="B71" s="15"/>
      <c r="C71" s="2"/>
      <c r="D71" s="1"/>
      <c r="E71" s="1"/>
    </row>
    <row r="72" customFormat="false" ht="12.8" hidden="false" customHeight="true" outlineLevel="0" collapsed="false">
      <c r="A72" s="27"/>
      <c r="B72" s="1"/>
      <c r="H72" s="1"/>
      <c r="O72" s="1"/>
      <c r="V72" s="1"/>
      <c r="AC72" s="1"/>
    </row>
    <row r="73" customFormat="false" ht="12.8" hidden="false" customHeight="true" outlineLevel="0" collapsed="false">
      <c r="H73" s="1"/>
      <c r="I73" s="1"/>
      <c r="J73" s="1"/>
      <c r="O73" s="1"/>
      <c r="P73" s="1"/>
      <c r="Q73" s="1"/>
      <c r="V73" s="1"/>
      <c r="W73" s="1"/>
      <c r="X73" s="1"/>
      <c r="AC73" s="1"/>
      <c r="AD73" s="1"/>
      <c r="AE73" s="1"/>
    </row>
    <row r="74" customFormat="false" ht="12.8" hidden="false" customHeight="true" outlineLevel="0" collapsed="false">
      <c r="A74" s="1"/>
      <c r="C74" s="1"/>
    </row>
    <row r="75" customFormat="false" ht="12.8" hidden="false" customHeight="true" outlineLevel="0" collapsed="false">
      <c r="A75" s="28"/>
      <c r="C75" s="1"/>
      <c r="H75" s="1"/>
      <c r="O75" s="1"/>
      <c r="V75" s="1"/>
      <c r="AC75" s="1"/>
    </row>
    <row r="76" customFormat="false" ht="12.8" hidden="false" customHeight="true" outlineLevel="0" collapsed="false">
      <c r="H76" s="1"/>
      <c r="I76" s="26"/>
      <c r="J76" s="1"/>
      <c r="O76" s="1"/>
      <c r="P76" s="26"/>
      <c r="Q76" s="1"/>
      <c r="V76" s="1"/>
      <c r="W76" s="26"/>
      <c r="X76" s="1"/>
      <c r="AC76" s="26"/>
      <c r="AD76" s="26"/>
      <c r="AE76" s="1"/>
    </row>
    <row r="78" customFormat="false" ht="12.8" hidden="false" customHeight="true" outlineLevel="0" collapsed="false">
      <c r="H78" s="26"/>
      <c r="I78" s="26"/>
      <c r="J78" s="1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270</TotalTime>
  <Application>LibreOffice/25.8.1.1$Linux_X86_64 LibreOffice_project/580$Build-1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2025-10-10T10:09:03Z</dcterms:created>
  <dc:creator/>
  <dc:description/>
  <dc:language>ru-RU</dc:language>
  <cp:lastModifiedBy/>
  <dcterms:modified xsi:type="dcterms:W3CDTF">2025-11-04T14:52:56Z</dcterms:modified>
  <cp:revision>13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qrichtext">
    <vt:lpwstr>1</vt:lpwstr>
  </property>
</Properties>
</file>