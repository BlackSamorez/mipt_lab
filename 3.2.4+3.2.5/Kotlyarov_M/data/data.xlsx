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<sst xmlns="http://schemas.openxmlformats.org/spreadsheetml/2006/main" count="108" uniqueCount="69">
  <si>
    <t xml:space="preserve">С, нФ</t>
  </si>
  <si>
    <t xml:space="preserve">T_эксп, мкс</t>
  </si>
  <si>
    <t xml:space="preserve">T_теор, мкс</t>
  </si>
  <si>
    <t xml:space="preserve">k</t>
  </si>
  <si>
    <t xml:space="preserve">L, Гн</t>
  </si>
  <si>
    <t xml:space="preserve">R_L, Ом</t>
  </si>
  <si>
    <t xml:space="preserve">погр C</t>
  </si>
  <si>
    <t xml:space="preserve">погр L</t>
  </si>
  <si>
    <t xml:space="preserve">T, с</t>
  </si>
  <si>
    <t xml:space="preserve">C_0</t>
  </si>
  <si>
    <t xml:space="preserve">погр магазина сопр</t>
  </si>
  <si>
    <t xml:space="preserve">f_0, Гц</t>
  </si>
  <si>
    <t xml:space="preserve">C^*, Ф</t>
  </si>
  <si>
    <t xml:space="preserve">R_кр, Ом</t>
  </si>
  <si>
    <t xml:space="preserve">R, Ом</t>
  </si>
  <si>
    <t xml:space="preserve">R_\Sigma, Ом</t>
  </si>
  <si>
    <t xml:space="preserve">U_1, В</t>
  </si>
  <si>
    <t xml:space="preserve">U_{1+n}, В</t>
  </si>
  <si>
    <t xml:space="preserve">n</t>
  </si>
  <si>
    <t xml:space="preserve">\Theta</t>
  </si>
  <si>
    <t xml:space="preserve">\sigma_\Theta</t>
  </si>
  <si>
    <t xml:space="preserve">Q</t>
  </si>
  <si>
    <t xml:space="preserve">\sigma_Q</t>
  </si>
  <si>
    <t xml:space="preserve">\varepsilon_Q, %</t>
  </si>
  <si>
    <t xml:space="preserve">\sigma R, Ом</t>
  </si>
  <si>
    <t xml:space="preserve">R_cr</t>
  </si>
  <si>
    <t xml:space="preserve">погр U</t>
  </si>
  <si>
    <t xml:space="preserve">\sigma_k</t>
  </si>
  <si>
    <t xml:space="preserve">Погр</t>
  </si>
  <si>
    <t xml:space="preserve">погр</t>
  </si>
  <si>
    <t xml:space="preserve">X_1, дел</t>
  </si>
  <si>
    <t xml:space="preserve">X_{1+n}, дел</t>
  </si>
  <si>
    <t xml:space="preserve">погр X</t>
  </si>
  <si>
    <t xml:space="preserve">\nu_рез, Гц</t>
  </si>
  <si>
    <t xml:space="preserve">U_c,рез, В</t>
  </si>
  <si>
    <t xml:space="preserve">погр \nu</t>
  </si>
  <si>
    <t xml:space="preserve">f(L, C, R)</t>
  </si>
  <si>
    <t xml:space="preserve">f(\Theta)</t>
  </si>
  <si>
    <t xml:space="preserve">f(\Theta), фаз. пл-ть</t>
  </si>
  <si>
    <t xml:space="preserve">АЧХ</t>
  </si>
  <si>
    <t xml:space="preserve">ФЧХ</t>
  </si>
  <si>
    <t xml:space="preserve">\nu_l, Гц</t>
  </si>
  <si>
    <t xml:space="preserve">сист, В</t>
  </si>
  <si>
    <t xml:space="preserve">чел, В</t>
  </si>
  <si>
    <t xml:space="preserve">\nu_r, Гц</t>
  </si>
  <si>
    <t xml:space="preserve">\nu, кГц</t>
  </si>
  <si>
    <t xml:space="preserve">U_c, Гц</t>
  </si>
  <si>
    <t xml:space="preserve">U/U_0</t>
  </si>
  <si>
    <t xml:space="preserve">\Delta x, мкс</t>
  </si>
  <si>
    <t xml:space="preserve">\sigma_{\Delta x}, мкс</t>
  </si>
  <si>
    <t xml:space="preserve">\Delta \varphi, рад</t>
  </si>
  <si>
    <t xml:space="preserve">Q_R</t>
  </si>
  <si>
    <t xml:space="preserve">добротность АЧХ</t>
  </si>
  <si>
    <t xml:space="preserve">добротность ФЧХ</t>
  </si>
  <si>
    <t xml:space="preserve">левая граница</t>
  </si>
  <si>
    <t xml:space="preserve">правая граница</t>
  </si>
  <si>
    <t xml:space="preserve">Ширина АЧХ на уровне 1/√2</t>
  </si>
  <si>
    <t xml:space="preserve">Q_ACH</t>
  </si>
  <si>
    <t xml:space="preserve">Резонансная частота по ФЧХ</t>
  </si>
  <si>
    <t xml:space="preserve">Целевой уровень для Δω</t>
  </si>
  <si>
    <t xml:space="preserve">Ширина отражённой ФЧХ на уровне -π/</t>
  </si>
  <si>
    <t xml:space="preserve">Q_FCH</t>
  </si>
  <si>
    <t xml:space="preserve">5.927 кГц</t>
  </si>
  <si>
    <t xml:space="preserve">-0.785</t>
  </si>
  <si>
    <t xml:space="preserve">5.613</t>
  </si>
  <si>
    <t xml:space="preserve">6.238</t>
  </si>
  <si>
    <t xml:space="preserve">0.625</t>
  </si>
  <si>
    <t xml:space="preserve">9.49</t>
  </si>
  <si>
    <t xml:space="preserve">\sigma_{U_c}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</si>
</sst>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0"/>
    <numFmt numFmtId="167" formatCode="0.0"/>
    <numFmt numFmtId="168" formatCode="0.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4"/>
  <sheetViews>
    <sheetView showFormulas="false" showGridLines="true" showRowColHeaders="true" showZeros="true" rightToLeft="false" tabSelected="true" showOutlineSymbols="true" defaultGridColor="true" view="normal" topLeftCell="K12" colorId="64" zoomScale="100" zoomScaleNormal="100" zoomScalePageLayoutView="100" workbookViewId="0">
      <selection pane="topLeft" activeCell="Y29" activeCellId="0" sqref="Y29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  <c r="J1" s="1" t="n">
        <v>1</v>
      </c>
      <c r="K1" s="1" t="n">
        <v>2</v>
      </c>
      <c r="L1" s="1" t="n">
        <v>3</v>
      </c>
      <c r="M1" s="1" t="n">
        <v>4</v>
      </c>
      <c r="N1" s="1" t="n">
        <v>5</v>
      </c>
      <c r="O1" s="1" t="n">
        <v>6</v>
      </c>
      <c r="P1" s="1" t="n">
        <v>7</v>
      </c>
      <c r="Q1" s="1" t="n">
        <v>8</v>
      </c>
    </row>
    <row r="2" customFormat="false" ht="12.8" hidden="false" customHeight="false" outlineLevel="0" collapsed="false">
      <c r="A2" s="1" t="s">
        <v>1</v>
      </c>
      <c r="B2" s="1" t="n">
        <v>69</v>
      </c>
      <c r="C2" s="1" t="n">
        <v>71</v>
      </c>
      <c r="D2" s="1" t="n">
        <v>75</v>
      </c>
      <c r="E2" s="1" t="n">
        <v>76</v>
      </c>
      <c r="F2" s="1" t="n">
        <v>78</v>
      </c>
      <c r="G2" s="1" t="n">
        <v>81</v>
      </c>
      <c r="H2" s="1" t="n">
        <v>83</v>
      </c>
      <c r="I2" s="1" t="n">
        <v>85</v>
      </c>
      <c r="J2" s="1" t="n">
        <v>90</v>
      </c>
      <c r="K2" s="1" t="n">
        <v>112</v>
      </c>
      <c r="L2" s="1" t="n">
        <v>128</v>
      </c>
      <c r="M2" s="1" t="n">
        <v>144</v>
      </c>
      <c r="N2" s="1" t="n">
        <v>152</v>
      </c>
      <c r="O2" s="1" t="n">
        <v>172</v>
      </c>
      <c r="P2" s="1" t="n">
        <v>180</v>
      </c>
      <c r="Q2" s="1" t="n">
        <v>188</v>
      </c>
    </row>
    <row r="3" customFormat="false" ht="12.8" hidden="false" customHeight="false" outlineLevel="0" collapsed="false">
      <c r="A3" s="1" t="s">
        <v>2</v>
      </c>
      <c r="B3" s="1" t="n">
        <f aca="false">2*PI()*SQRT($B$8*B1*10^-9)*10^6</f>
        <v>19.8691765315922</v>
      </c>
      <c r="C3" s="1" t="n">
        <f aca="false">2*PI()*SQRT($B$8*C1*10^-9)*10^6</f>
        <v>28.0992589241629</v>
      </c>
      <c r="D3" s="1" t="n">
        <f aca="false">2*PI()*SQRT($B$8*D1*10^-9)*10^6</f>
        <v>34.4144232572729</v>
      </c>
      <c r="E3" s="1" t="n">
        <f aca="false">2*PI()*SQRT($B$8*E1*10^-9)*10^6</f>
        <v>39.7383530631844</v>
      </c>
      <c r="F3" s="1" t="n">
        <f aca="false">2*PI()*SQRT($B$8*F1*10^-9)*10^6</f>
        <v>44.4288293815837</v>
      </c>
      <c r="G3" s="1" t="n">
        <f aca="false">2*PI()*SQRT($B$8*G1*10^-9)*10^6</f>
        <v>48.6693441116833</v>
      </c>
      <c r="H3" s="1" t="n">
        <f aca="false">2*PI()*SQRT($B$8*H1*10^-9)*10^6</f>
        <v>52.5688998582339</v>
      </c>
      <c r="I3" s="1" t="n">
        <f aca="false">2*PI()*SQRT($B$8*I1*10^-9)*10^6</f>
        <v>56.1985178483258</v>
      </c>
      <c r="J3" s="1" t="n">
        <f aca="false">2*PI()*SQRT($B$8*J1*10^-9)*10^6</f>
        <v>62.8318530717959</v>
      </c>
      <c r="K3" s="1" t="n">
        <f aca="false">2*PI()*SQRT($B$8*K1*10^-9)*10^6</f>
        <v>88.8576587631673</v>
      </c>
      <c r="L3" s="1" t="n">
        <f aca="false">2*PI()*SQRT($B$8*L1*10^-9)*10^6</f>
        <v>108.827961854053</v>
      </c>
      <c r="M3" s="1" t="n">
        <f aca="false">2*PI()*SQRT($B$8*M1*10^-9)*10^6</f>
        <v>125.663706143592</v>
      </c>
      <c r="N3" s="1" t="n">
        <f aca="false">2*PI()*SQRT($B$8*N1*10^-9)*10^6</f>
        <v>140.496294620815</v>
      </c>
      <c r="O3" s="1" t="n">
        <f aca="false">2*PI()*SQRT($B$8*O1*10^-9)*10^6</f>
        <v>153.905979619424</v>
      </c>
      <c r="P3" s="1" t="n">
        <f aca="false">2*PI()*SQRT($B$8*P1*10^-9)*10^6</f>
        <v>166.237457641322</v>
      </c>
      <c r="Q3" s="1" t="n">
        <f aca="false">2*PI()*SQRT($B$8*Q1*10^-9)*10^6</f>
        <v>177.715317526335</v>
      </c>
      <c r="S3" s="0" t="s">
        <v>3</v>
      </c>
    </row>
    <row r="4" customFormat="false" ht="12.8" hidden="false" customHeight="true" outlineLevel="0" collapsed="false">
      <c r="B4" s="0" t="n">
        <f aca="false">1/2*B3*($F$9+$G$9)</f>
        <v>0.0298037647973883</v>
      </c>
      <c r="C4" s="0" t="n">
        <f aca="false">1/2*C3*($F$9+$G$9)</f>
        <v>0.0421488883862444</v>
      </c>
      <c r="D4" s="0" t="n">
        <f aca="false">1/2*D3*($F$9+$G$9)</f>
        <v>0.0516216348859094</v>
      </c>
      <c r="E4" s="0" t="n">
        <f aca="false">1/2*E3*($F$9+$G$9)</f>
        <v>0.0596075295947766</v>
      </c>
      <c r="F4" s="0" t="n">
        <f aca="false">1/2*F3*($F$9+$G$9)</f>
        <v>0.0666432440723755</v>
      </c>
      <c r="G4" s="0" t="n">
        <f aca="false">1/2*G3*($F$9+$G$9)</f>
        <v>0.073004016167525</v>
      </c>
      <c r="H4" s="0" t="n">
        <f aca="false">1/2*H3*($F$9+$G$9)</f>
        <v>0.0788533497873509</v>
      </c>
      <c r="I4" s="0" t="n">
        <f aca="false">1/2*I3*($F$9+$G$9)</f>
        <v>0.0842977767724887</v>
      </c>
      <c r="J4" s="0" t="n">
        <f aca="false">1/2*J3*($F$9+$G$9)</f>
        <v>0.0942477796076938</v>
      </c>
      <c r="K4" s="0" t="n">
        <f aca="false">1/2*K3*($F$9+$G$9)</f>
        <v>0.133286488144751</v>
      </c>
      <c r="L4" s="0" t="n">
        <f aca="false">1/2*L3*($F$9+$G$9)</f>
        <v>0.16324194278108</v>
      </c>
      <c r="M4" s="0" t="n">
        <f aca="false">1/2*M3*($F$9+$G$9)</f>
        <v>0.188495559215388</v>
      </c>
      <c r="N4" s="0" t="n">
        <f aca="false">1/2*N3*($F$9+$G$9)</f>
        <v>0.210744441931223</v>
      </c>
      <c r="O4" s="0" t="n">
        <f aca="false">1/2*O3*($F$9+$G$9)</f>
        <v>0.230858969429136</v>
      </c>
      <c r="P4" s="0" t="n">
        <f aca="false">1/2*P3*($F$9+$G$9)</f>
        <v>0.249356186461983</v>
      </c>
      <c r="Q4" s="0" t="n">
        <f aca="false">1/2*Q3*($F$9+$G$9)</f>
        <v>0.266572976289503</v>
      </c>
      <c r="S4" s="2" t="n">
        <v>1.006327</v>
      </c>
    </row>
    <row r="5" customFormat="false" ht="12.8" hidden="false" customHeight="true" outlineLevel="0" collapsed="false">
      <c r="S5" s="2" t="n">
        <v>0.005742</v>
      </c>
    </row>
    <row r="6" customFormat="false" ht="12.8" hidden="false" customHeight="true" outlineLevel="0" collapsed="false">
      <c r="S6" s="0" t="n">
        <f aca="false">S5/S4*100</f>
        <v>0.570589877842888</v>
      </c>
    </row>
    <row r="8" customFormat="false" ht="12.8" hidden="false" customHeight="false" outlineLevel="0" collapsed="false">
      <c r="A8" s="1" t="s">
        <v>4</v>
      </c>
      <c r="B8" s="1" t="n">
        <v>0.1</v>
      </c>
      <c r="C8" s="1" t="s">
        <v>5</v>
      </c>
      <c r="D8" s="1" t="n">
        <v>32</v>
      </c>
      <c r="F8" s="0" t="s">
        <v>6</v>
      </c>
      <c r="G8" s="0" t="s">
        <v>7</v>
      </c>
    </row>
    <row r="9" customFormat="false" ht="12.8" hidden="false" customHeight="false" outlineLevel="0" collapsed="false">
      <c r="A9" s="1" t="s">
        <v>8</v>
      </c>
      <c r="B9" s="1" t="n">
        <f aca="false">65*10^-6</f>
        <v>6.5E-005</v>
      </c>
      <c r="F9" s="3" t="n">
        <v>0.001</v>
      </c>
      <c r="G9" s="3" t="n">
        <v>0.002</v>
      </c>
    </row>
    <row r="10" customFormat="false" ht="12.8" hidden="false" customHeight="false" outlineLevel="0" collapsed="false">
      <c r="A10" s="1" t="s">
        <v>9</v>
      </c>
      <c r="B10" s="1" t="n">
        <f aca="false">B9^2/4/PI()^2/B8</f>
        <v>1.07020500222219E-009</v>
      </c>
    </row>
    <row r="11" customFormat="false" ht="12.8" hidden="false" customHeight="true" outlineLevel="0" collapsed="false">
      <c r="E11" s="0" t="s">
        <v>10</v>
      </c>
    </row>
    <row r="12" customFormat="false" ht="12.8" hidden="false" customHeight="false" outlineLevel="0" collapsed="false">
      <c r="A12" s="1" t="s">
        <v>11</v>
      </c>
      <c r="B12" s="1" t="n">
        <v>6500</v>
      </c>
      <c r="E12" s="3" t="n">
        <v>0.0002</v>
      </c>
    </row>
    <row r="13" customFormat="false" ht="12.8" hidden="false" customHeight="false" outlineLevel="0" collapsed="false">
      <c r="A13" s="1" t="s">
        <v>12</v>
      </c>
      <c r="B13" s="1" t="n">
        <f aca="false">1/(2*PI()*B12)^2/B8</f>
        <v>5.9953363101975E-009</v>
      </c>
    </row>
    <row r="14" customFormat="false" ht="12.8" hidden="false" customHeight="false" outlineLevel="0" collapsed="false">
      <c r="A14" s="1" t="s">
        <v>13</v>
      </c>
      <c r="B14" s="1" t="n">
        <f aca="false">2*SQRT(B8/B13)</f>
        <v>8168.14089933346</v>
      </c>
    </row>
    <row r="16" customFormat="false" ht="12.8" hidden="false" customHeight="true" outlineLevel="0" collapsed="false">
      <c r="A16" s="1" t="s">
        <v>14</v>
      </c>
      <c r="B16" s="1" t="n">
        <v>350</v>
      </c>
      <c r="C16" s="1" t="n">
        <v>560</v>
      </c>
      <c r="D16" s="1" t="n">
        <v>840</v>
      </c>
      <c r="E16" s="1" t="n">
        <v>1200</v>
      </c>
      <c r="F16" s="1" t="n">
        <v>1600</v>
      </c>
      <c r="G16" s="1" t="n">
        <v>1750</v>
      </c>
      <c r="P16" s="1" t="s">
        <v>14</v>
      </c>
      <c r="R16" s="1" t="s">
        <v>15</v>
      </c>
      <c r="S16" s="1" t="s">
        <v>16</v>
      </c>
      <c r="T16" s="1" t="s">
        <v>17</v>
      </c>
      <c r="U16" s="1" t="s">
        <v>18</v>
      </c>
      <c r="V16" s="1" t="s">
        <v>19</v>
      </c>
      <c r="W16" s="0" t="s">
        <v>20</v>
      </c>
      <c r="X16" s="0" t="s">
        <v>21</v>
      </c>
      <c r="Y16" s="0" t="s">
        <v>22</v>
      </c>
      <c r="Z16" s="0" t="s">
        <v>23</v>
      </c>
    </row>
    <row r="17" customFormat="false" ht="12.8" hidden="false" customHeight="false" outlineLevel="0" collapsed="false">
      <c r="A17" s="0" t="s">
        <v>24</v>
      </c>
      <c r="B17" s="0" t="n">
        <f aca="false">B16*$E$12</f>
        <v>0.07</v>
      </c>
      <c r="C17" s="0" t="n">
        <f aca="false">C16*$E$12</f>
        <v>0.112</v>
      </c>
      <c r="D17" s="0" t="n">
        <f aca="false">D16*$E$12</f>
        <v>0.168</v>
      </c>
      <c r="E17" s="0" t="n">
        <f aca="false">E16*$E$12</f>
        <v>0.24</v>
      </c>
      <c r="F17" s="0" t="n">
        <f aca="false">F16*$E$12</f>
        <v>0.32</v>
      </c>
      <c r="G17" s="0" t="n">
        <f aca="false">G16*$E$12</f>
        <v>0.35</v>
      </c>
      <c r="P17" s="0" t="n">
        <v>350</v>
      </c>
      <c r="R17" s="0" t="n">
        <v>382</v>
      </c>
      <c r="S17" s="0" t="n">
        <v>5.96</v>
      </c>
      <c r="T17" s="0" t="n">
        <v>1.6</v>
      </c>
      <c r="U17" s="0" t="n">
        <v>4</v>
      </c>
      <c r="V17" s="4" t="n">
        <v>0.328766712957881</v>
      </c>
      <c r="W17" s="4" t="n">
        <v>0.0323564864072964</v>
      </c>
      <c r="X17" s="4" t="n">
        <v>9.5556895809956</v>
      </c>
      <c r="Y17" s="4" t="n">
        <v>0.940449649716937</v>
      </c>
      <c r="Z17" s="5" t="n">
        <v>9.841776898941</v>
      </c>
    </row>
    <row r="18" customFormat="false" ht="12.8" hidden="false" customHeight="false" outlineLevel="0" collapsed="false">
      <c r="A18" s="1" t="s">
        <v>15</v>
      </c>
      <c r="B18" s="1" t="n">
        <f aca="false">B16+32</f>
        <v>382</v>
      </c>
      <c r="C18" s="1" t="n">
        <f aca="false">C16+32</f>
        <v>592</v>
      </c>
      <c r="D18" s="1" t="n">
        <f aca="false">D16+32</f>
        <v>872</v>
      </c>
      <c r="E18" s="1" t="n">
        <f aca="false">E16+32</f>
        <v>1232</v>
      </c>
      <c r="F18" s="1" t="n">
        <f aca="false">F16+32</f>
        <v>1632</v>
      </c>
      <c r="G18" s="1" t="n">
        <f aca="false">G16+32</f>
        <v>1782</v>
      </c>
      <c r="J18" s="0" t="s">
        <v>3</v>
      </c>
      <c r="K18" s="2" t="n">
        <v>1405992</v>
      </c>
      <c r="M18" s="0" t="s">
        <v>25</v>
      </c>
      <c r="P18" s="0" t="n">
        <v>560</v>
      </c>
      <c r="R18" s="0" t="n">
        <v>592</v>
      </c>
      <c r="S18" s="0" t="n">
        <v>5.32</v>
      </c>
      <c r="T18" s="0" t="n">
        <v>0.76</v>
      </c>
      <c r="U18" s="0" t="n">
        <v>4</v>
      </c>
      <c r="V18" s="4" t="n">
        <v>0.486477537263828</v>
      </c>
      <c r="W18" s="4" t="n">
        <v>0.066457404246856</v>
      </c>
      <c r="X18" s="4" t="n">
        <v>6.45783702832313</v>
      </c>
      <c r="Y18" s="4" t="n">
        <v>0.882201238654182</v>
      </c>
      <c r="Z18" s="5" t="n">
        <v>13.6609399522623</v>
      </c>
    </row>
    <row r="19" customFormat="false" ht="12.8" hidden="false" customHeight="false" outlineLevel="0" collapsed="false">
      <c r="A19" s="1" t="s">
        <v>16</v>
      </c>
      <c r="B19" s="1" t="n">
        <v>5.96</v>
      </c>
      <c r="C19" s="1" t="n">
        <v>5.32</v>
      </c>
      <c r="D19" s="1" t="n">
        <v>4.52</v>
      </c>
      <c r="E19" s="1" t="n">
        <v>3.68</v>
      </c>
      <c r="F19" s="1" t="n">
        <v>2.96</v>
      </c>
      <c r="G19" s="1" t="n">
        <v>2.72</v>
      </c>
      <c r="I19" s="0" t="s">
        <v>26</v>
      </c>
      <c r="J19" s="0" t="s">
        <v>27</v>
      </c>
      <c r="K19" s="2" t="n">
        <v>82632</v>
      </c>
      <c r="M19" s="2" t="n">
        <v>7450.26</v>
      </c>
      <c r="P19" s="0" t="n">
        <v>840</v>
      </c>
      <c r="R19" s="0" t="n">
        <v>872</v>
      </c>
      <c r="S19" s="0" t="n">
        <v>4.52</v>
      </c>
      <c r="T19" s="0" t="n">
        <v>0.44</v>
      </c>
      <c r="U19" s="0" t="n">
        <v>4</v>
      </c>
      <c r="V19" s="4" t="n">
        <v>0.582373136478492</v>
      </c>
      <c r="W19" s="4" t="n">
        <v>0.114173507477755</v>
      </c>
      <c r="X19" s="4" t="n">
        <v>5.39446697796957</v>
      </c>
      <c r="Y19" s="4" t="n">
        <v>1.05757834156291</v>
      </c>
      <c r="Z19" s="5" t="n">
        <v>19.6048719156488</v>
      </c>
    </row>
    <row r="20" customFormat="false" ht="12.8" hidden="false" customHeight="false" outlineLevel="0" collapsed="false">
      <c r="A20" s="1" t="s">
        <v>17</v>
      </c>
      <c r="B20" s="1" t="n">
        <v>1.6</v>
      </c>
      <c r="C20" s="1" t="n">
        <v>0.76</v>
      </c>
      <c r="D20" s="1" t="n">
        <v>0.44</v>
      </c>
      <c r="E20" s="1" t="n">
        <v>0.32</v>
      </c>
      <c r="F20" s="1" t="n">
        <v>0.4</v>
      </c>
      <c r="G20" s="1" t="n">
        <v>0.64</v>
      </c>
      <c r="I20" s="0" t="n">
        <v>0.2</v>
      </c>
      <c r="K20" s="0" t="n">
        <f aca="false">K19/K18*100</f>
        <v>5.87713159107591</v>
      </c>
      <c r="M20" s="2" t="n">
        <v>218.93</v>
      </c>
      <c r="P20" s="0" t="n">
        <v>1200</v>
      </c>
      <c r="R20" s="0" t="n">
        <v>1232</v>
      </c>
      <c r="S20" s="0" t="n">
        <v>3.68</v>
      </c>
      <c r="T20" s="0" t="n">
        <v>0.32</v>
      </c>
      <c r="U20" s="0" t="n">
        <v>3</v>
      </c>
      <c r="V20" s="4" t="n">
        <v>0.814115678456401</v>
      </c>
      <c r="W20" s="4" t="n">
        <v>0.209119499648826</v>
      </c>
      <c r="X20" s="4" t="n">
        <v>3.85890204147203</v>
      </c>
      <c r="Y20" s="4" t="n">
        <v>0.991224816645858</v>
      </c>
      <c r="Z20" s="5" t="n">
        <v>25.6867058555273</v>
      </c>
    </row>
    <row r="21" customFormat="false" ht="12.8" hidden="false" customHeight="false" outlineLevel="0" collapsed="false">
      <c r="A21" s="1" t="s">
        <v>18</v>
      </c>
      <c r="B21" s="1" t="n">
        <v>4</v>
      </c>
      <c r="C21" s="1" t="n">
        <v>4</v>
      </c>
      <c r="D21" s="1" t="n">
        <v>4</v>
      </c>
      <c r="E21" s="1" t="n">
        <v>3</v>
      </c>
      <c r="F21" s="1" t="n">
        <v>2</v>
      </c>
      <c r="G21" s="1" t="n">
        <v>1</v>
      </c>
      <c r="M21" s="0" t="n">
        <f aca="false">M20/M19*100</f>
        <v>2.93855516451775</v>
      </c>
      <c r="P21" s="0" t="n">
        <v>1600</v>
      </c>
      <c r="R21" s="0" t="n">
        <v>1632</v>
      </c>
      <c r="S21" s="0" t="n">
        <v>2.96</v>
      </c>
      <c r="T21" s="0" t="n">
        <v>0.4</v>
      </c>
      <c r="U21" s="0" t="n">
        <v>2</v>
      </c>
      <c r="V21" s="4" t="n">
        <v>1.00074000010506</v>
      </c>
      <c r="W21" s="4" t="n">
        <v>0.252272360845871</v>
      </c>
      <c r="X21" s="4" t="n">
        <v>3.1392695937606</v>
      </c>
      <c r="Y21" s="4" t="n">
        <v>0.791365341313932</v>
      </c>
      <c r="Z21" s="5" t="n">
        <v>25.2085817314574</v>
      </c>
    </row>
    <row r="22" customFormat="false" ht="12.8" hidden="false" customHeight="false" outlineLevel="0" collapsed="false">
      <c r="A22" s="1" t="s">
        <v>19</v>
      </c>
      <c r="B22" s="1" t="n">
        <f aca="false">LN(B19/B20)/B21</f>
        <v>0.328766712957881</v>
      </c>
      <c r="C22" s="1" t="n">
        <f aca="false">LN(C19/C20)/C21</f>
        <v>0.486477537263828</v>
      </c>
      <c r="D22" s="1" t="n">
        <f aca="false">LN(D19/D20)/D21</f>
        <v>0.582373136478492</v>
      </c>
      <c r="E22" s="1" t="n">
        <f aca="false">LN(E19/E20)/E21</f>
        <v>0.814115678456401</v>
      </c>
      <c r="F22" s="1" t="n">
        <f aca="false">LN(F19/F20)/F21</f>
        <v>1.00074000010506</v>
      </c>
      <c r="G22" s="1" t="n">
        <f aca="false">LN(G19/G20)/G21</f>
        <v>1.44691898293633</v>
      </c>
      <c r="P22" s="0" t="n">
        <v>1750</v>
      </c>
      <c r="R22" s="0" t="n">
        <v>1782</v>
      </c>
      <c r="S22" s="0" t="n">
        <v>2.72</v>
      </c>
      <c r="T22" s="0" t="n">
        <v>0.64</v>
      </c>
      <c r="U22" s="0" t="n">
        <v>1</v>
      </c>
      <c r="V22" s="4" t="n">
        <v>1.44691898293633</v>
      </c>
      <c r="W22" s="4" t="n">
        <v>0.321033992584062</v>
      </c>
      <c r="X22" s="4" t="n">
        <v>2.17122913628125</v>
      </c>
      <c r="Y22" s="4" t="n">
        <v>0.481739728799928</v>
      </c>
      <c r="Z22" s="5" t="n">
        <v>22.187420053925</v>
      </c>
    </row>
    <row r="23" customFormat="false" ht="12.8" hidden="false" customHeight="true" outlineLevel="0" collapsed="false">
      <c r="A23" s="0" t="s">
        <v>28</v>
      </c>
      <c r="B23" s="0" t="n">
        <f aca="false">1/B21*$I$20*SQRT(1/B19^2+1/B20^2)</f>
        <v>0.0323564864072964</v>
      </c>
      <c r="C23" s="0" t="n">
        <f aca="false">1/C21*$I$20*SQRT(1/C19^2+1/C20^2)</f>
        <v>0.066457404246856</v>
      </c>
      <c r="D23" s="0" t="n">
        <f aca="false">1/D21*$I$20*SQRT(1/D19^2+1/D20^2)</f>
        <v>0.114173507477755</v>
      </c>
      <c r="E23" s="0" t="n">
        <f aca="false">1/E21*$I$20*SQRT(1/E19^2+1/E20^2)</f>
        <v>0.209119499648826</v>
      </c>
      <c r="F23" s="0" t="n">
        <f aca="false">1/F21*$I$20*SQRT(1/F19^2+1/F20^2)</f>
        <v>0.252272360845871</v>
      </c>
      <c r="G23" s="0" t="n">
        <f aca="false">1/G21*$I$20*SQRT(1/G19^2+1/G20^2)</f>
        <v>0.321033992584062</v>
      </c>
    </row>
    <row r="24" customFormat="false" ht="12.8" hidden="false" customHeight="true" outlineLevel="0" collapsed="false">
      <c r="A24" s="0" t="s">
        <v>21</v>
      </c>
      <c r="B24" s="0" t="n">
        <f aca="false">PI()/B22</f>
        <v>9.5556895809956</v>
      </c>
      <c r="C24" s="0" t="n">
        <f aca="false">PI()/C22</f>
        <v>6.45783702832313</v>
      </c>
      <c r="D24" s="0" t="n">
        <f aca="false">PI()/D22</f>
        <v>5.39446697796957</v>
      </c>
      <c r="E24" s="0" t="n">
        <f aca="false">PI()/E22</f>
        <v>3.85890204147203</v>
      </c>
      <c r="F24" s="0" t="n">
        <f aca="false">PI()/F22</f>
        <v>3.1392695937606</v>
      </c>
      <c r="G24" s="0" t="n">
        <f aca="false">PI()/G22</f>
        <v>2.17122913628125</v>
      </c>
    </row>
    <row r="25" customFormat="false" ht="12.8" hidden="false" customHeight="false" outlineLevel="0" collapsed="false">
      <c r="A25" s="0" t="s">
        <v>29</v>
      </c>
      <c r="B25" s="0" t="n">
        <f aca="false">B24*B23/B22</f>
        <v>0.940449649716937</v>
      </c>
      <c r="C25" s="0" t="n">
        <f aca="false">C24*C23/C22</f>
        <v>0.882201238654182</v>
      </c>
      <c r="D25" s="0" t="n">
        <f aca="false">D24*D23/D22</f>
        <v>1.05757834156291</v>
      </c>
      <c r="E25" s="0" t="n">
        <f aca="false">E24*E23/E22</f>
        <v>0.991224816645858</v>
      </c>
      <c r="F25" s="0" t="n">
        <f aca="false">F24*F23/F22</f>
        <v>0.791365341313932</v>
      </c>
      <c r="G25" s="0" t="n">
        <f aca="false">G24*G23/G22</f>
        <v>0.481739728799928</v>
      </c>
      <c r="Q25" s="0" t="s">
        <v>24</v>
      </c>
    </row>
    <row r="26" customFormat="false" ht="12.8" hidden="false" customHeight="false" outlineLevel="0" collapsed="false">
      <c r="B26" s="0" t="n">
        <f aca="false">B25/B24*100</f>
        <v>9.841776898941</v>
      </c>
      <c r="C26" s="0" t="n">
        <f aca="false">C25/C24*100</f>
        <v>13.6609399522623</v>
      </c>
      <c r="D26" s="0" t="n">
        <f aca="false">D25/D24*100</f>
        <v>19.6048719156488</v>
      </c>
      <c r="E26" s="0" t="n">
        <f aca="false">E25/E24*100</f>
        <v>25.6867058555273</v>
      </c>
      <c r="F26" s="0" t="n">
        <f aca="false">F25/F24*100</f>
        <v>25.2085817314574</v>
      </c>
      <c r="G26" s="0" t="n">
        <f aca="false">G25/G24*100</f>
        <v>22.187420053925</v>
      </c>
      <c r="Q26" s="4" t="n">
        <v>0.07</v>
      </c>
    </row>
    <row r="27" customFormat="false" ht="12.8" hidden="false" customHeight="false" outlineLevel="0" collapsed="false">
      <c r="Q27" s="4" t="n">
        <v>0.112</v>
      </c>
    </row>
    <row r="28" customFormat="false" ht="12.8" hidden="false" customHeight="false" outlineLevel="0" collapsed="false">
      <c r="Q28" s="4" t="n">
        <v>0.168</v>
      </c>
    </row>
    <row r="29" customFormat="false" ht="12.8" hidden="false" customHeight="false" outlineLevel="0" collapsed="false">
      <c r="Q29" s="4" t="n">
        <v>0.24</v>
      </c>
    </row>
    <row r="30" customFormat="false" ht="12.8" hidden="false" customHeight="false" outlineLevel="0" collapsed="false">
      <c r="A30" s="1" t="s">
        <v>14</v>
      </c>
      <c r="B30" s="1" t="n">
        <v>350</v>
      </c>
      <c r="C30" s="1" t="n">
        <v>560</v>
      </c>
      <c r="D30" s="1" t="n">
        <v>840</v>
      </c>
      <c r="E30" s="1" t="n">
        <v>1200</v>
      </c>
      <c r="F30" s="1" t="n">
        <v>1600</v>
      </c>
      <c r="G30" s="1" t="n">
        <v>1750</v>
      </c>
      <c r="Q30" s="4" t="n">
        <v>0.32</v>
      </c>
    </row>
    <row r="31" customFormat="false" ht="12.8" hidden="false" customHeight="true" outlineLevel="0" collapsed="false">
      <c r="A31" s="1" t="s">
        <v>15</v>
      </c>
      <c r="B31" s="1" t="n">
        <f aca="false">B30+32</f>
        <v>382</v>
      </c>
      <c r="C31" s="1" t="n">
        <f aca="false">C30+32</f>
        <v>592</v>
      </c>
      <c r="D31" s="1" t="n">
        <f aca="false">D30+32</f>
        <v>872</v>
      </c>
      <c r="E31" s="1" t="n">
        <f aca="false">E30+32</f>
        <v>1232</v>
      </c>
      <c r="F31" s="1" t="n">
        <f aca="false">F30+32</f>
        <v>1632</v>
      </c>
      <c r="G31" s="1" t="n">
        <f aca="false">G30+32</f>
        <v>1782</v>
      </c>
      <c r="Q31" s="4" t="n">
        <v>0.35</v>
      </c>
      <c r="T31" s="1" t="s">
        <v>15</v>
      </c>
      <c r="U31" s="1" t="s">
        <v>30</v>
      </c>
      <c r="V31" s="1" t="s">
        <v>31</v>
      </c>
      <c r="W31" s="1" t="s">
        <v>18</v>
      </c>
      <c r="X31" s="1" t="s">
        <v>19</v>
      </c>
      <c r="Y31" s="0" t="s">
        <v>20</v>
      </c>
      <c r="Z31" s="0" t="s">
        <v>21</v>
      </c>
      <c r="AA31" s="0" t="s">
        <v>22</v>
      </c>
      <c r="AB31" s="0" t="s">
        <v>23</v>
      </c>
    </row>
    <row r="32" customFormat="false" ht="12.8" hidden="false" customHeight="false" outlineLevel="0" collapsed="false">
      <c r="A32" s="1" t="s">
        <v>30</v>
      </c>
      <c r="B32" s="1" t="n">
        <v>17.5</v>
      </c>
      <c r="C32" s="1" t="n">
        <v>17</v>
      </c>
      <c r="D32" s="1" t="n">
        <v>16</v>
      </c>
      <c r="E32" s="1" t="n">
        <v>20</v>
      </c>
      <c r="F32" s="1" t="n">
        <v>14</v>
      </c>
      <c r="G32" s="1" t="n">
        <v>25</v>
      </c>
      <c r="I32" s="0" t="s">
        <v>32</v>
      </c>
      <c r="T32" s="0" t="n">
        <v>382</v>
      </c>
      <c r="U32" s="0" t="n">
        <v>17.5</v>
      </c>
      <c r="V32" s="0" t="n">
        <v>3</v>
      </c>
      <c r="W32" s="0" t="n">
        <v>5</v>
      </c>
      <c r="X32" s="4" t="n">
        <v>0.352717718452272</v>
      </c>
      <c r="Y32" s="4" t="n">
        <v>0.0338195826753613</v>
      </c>
      <c r="Z32" s="4" t="n">
        <v>8.90681836845375</v>
      </c>
      <c r="AA32" s="4" t="n">
        <v>0.854011194867459</v>
      </c>
      <c r="AB32" s="5" t="n">
        <v>9.58828573278426</v>
      </c>
    </row>
    <row r="33" customFormat="false" ht="12.8" hidden="false" customHeight="false" outlineLevel="0" collapsed="false">
      <c r="A33" s="1" t="s">
        <v>31</v>
      </c>
      <c r="B33" s="1" t="n">
        <v>3</v>
      </c>
      <c r="C33" s="1" t="n">
        <v>3.5</v>
      </c>
      <c r="D33" s="1" t="n">
        <v>3.5</v>
      </c>
      <c r="E33" s="1" t="n">
        <v>6.5</v>
      </c>
      <c r="F33" s="1" t="n">
        <v>3.5</v>
      </c>
      <c r="G33" s="1" t="n">
        <v>5.5</v>
      </c>
      <c r="I33" s="0" t="n">
        <v>0.5</v>
      </c>
      <c r="T33" s="0" t="n">
        <v>592</v>
      </c>
      <c r="U33" s="0" t="n">
        <v>17</v>
      </c>
      <c r="V33" s="0" t="n">
        <v>3.5</v>
      </c>
      <c r="W33" s="0" t="n">
        <v>3</v>
      </c>
      <c r="X33" s="4" t="n">
        <v>0.526816791853616</v>
      </c>
      <c r="Y33" s="4" t="n">
        <v>0.0486178010019882</v>
      </c>
      <c r="Z33" s="4" t="n">
        <v>5.96334950246372</v>
      </c>
      <c r="AA33" s="4" t="n">
        <v>0.550333519924411</v>
      </c>
      <c r="AB33" s="5" t="n">
        <v>9.22859744673768</v>
      </c>
    </row>
    <row r="34" customFormat="false" ht="12.8" hidden="false" customHeight="false" outlineLevel="0" collapsed="false">
      <c r="A34" s="1" t="s">
        <v>18</v>
      </c>
      <c r="B34" s="1" t="n">
        <v>5</v>
      </c>
      <c r="C34" s="1" t="n">
        <v>3</v>
      </c>
      <c r="D34" s="1" t="n">
        <v>2</v>
      </c>
      <c r="E34" s="1" t="n">
        <v>1</v>
      </c>
      <c r="F34" s="1" t="n">
        <v>1</v>
      </c>
      <c r="G34" s="1" t="n">
        <v>1</v>
      </c>
      <c r="T34" s="0" t="n">
        <v>872</v>
      </c>
      <c r="U34" s="0" t="n">
        <v>16</v>
      </c>
      <c r="V34" s="0" t="n">
        <v>3.5</v>
      </c>
      <c r="W34" s="0" t="n">
        <v>2</v>
      </c>
      <c r="X34" s="4" t="n">
        <v>0.759912876872207</v>
      </c>
      <c r="Y34" s="4" t="n">
        <v>0.0731175864024964</v>
      </c>
      <c r="Z34" s="4" t="n">
        <v>4.13414846517742</v>
      </c>
      <c r="AA34" s="4" t="n">
        <v>0.397781070439989</v>
      </c>
      <c r="AB34" s="5" t="n">
        <v>9.62183805904799</v>
      </c>
    </row>
    <row r="35" customFormat="false" ht="12.8" hidden="false" customHeight="false" outlineLevel="0" collapsed="false">
      <c r="A35" s="1" t="s">
        <v>19</v>
      </c>
      <c r="B35" s="1" t="n">
        <f aca="false">LN(B32/B33)/B34</f>
        <v>0.352717718452272</v>
      </c>
      <c r="C35" s="1" t="n">
        <f aca="false">LN(C32/C33)/C34</f>
        <v>0.526816791853616</v>
      </c>
      <c r="D35" s="1" t="n">
        <f aca="false">LN(D32/D33)/D34</f>
        <v>0.759912876872207</v>
      </c>
      <c r="E35" s="1" t="n">
        <f aca="false">LN(E32/E33)/E34</f>
        <v>1.1239300966524</v>
      </c>
      <c r="F35" s="1" t="n">
        <f aca="false">LN(F32/F33)/F34</f>
        <v>1.38629436111989</v>
      </c>
      <c r="G35" s="1" t="n">
        <f aca="false">LN(G32/G33)/G34</f>
        <v>1.51412773262978</v>
      </c>
      <c r="T35" s="0" t="n">
        <v>1232</v>
      </c>
      <c r="U35" s="0" t="n">
        <v>20</v>
      </c>
      <c r="V35" s="0" t="n">
        <v>6.5</v>
      </c>
      <c r="W35" s="0" t="n">
        <v>1</v>
      </c>
      <c r="X35" s="4" t="n">
        <v>1.1239300966524</v>
      </c>
      <c r="Y35" s="4" t="n">
        <v>0.0808836186338965</v>
      </c>
      <c r="Z35" s="4" t="n">
        <v>2.79518509464864</v>
      </c>
      <c r="AA35" s="4" t="n">
        <v>0.201155468547466</v>
      </c>
      <c r="AB35" s="5" t="n">
        <v>7.19649904160468</v>
      </c>
    </row>
    <row r="36" customFormat="false" ht="12.8" hidden="false" customHeight="true" outlineLevel="0" collapsed="false">
      <c r="A36" s="0" t="s">
        <v>28</v>
      </c>
      <c r="B36" s="0" t="n">
        <f aca="false">1/B34*$I$33*SQRT(1/B32^2+1/B33^2)</f>
        <v>0.0338195826753613</v>
      </c>
      <c r="C36" s="0" t="n">
        <f aca="false">1/C34*$I$33*SQRT(1/C32^2+1/C33^2)</f>
        <v>0.0486178010019882</v>
      </c>
      <c r="D36" s="0" t="n">
        <f aca="false">1/D34*$I$33*SQRT(1/D32^2+1/D33^2)</f>
        <v>0.0731175864024964</v>
      </c>
      <c r="E36" s="0" t="n">
        <f aca="false">1/E34*$I$33*SQRT(1/E32^2+1/E33^2)</f>
        <v>0.0808836186338965</v>
      </c>
      <c r="F36" s="0" t="n">
        <f aca="false">1/F34*$I$33*SQRT(1/F32^2+1/F33^2)</f>
        <v>0.147253772343488</v>
      </c>
      <c r="G36" s="0" t="n">
        <f aca="false">1/G34*$I$33*SQRT(1/G32^2+1/G33^2)</f>
        <v>0.093083096263056</v>
      </c>
      <c r="T36" s="0" t="n">
        <v>1632</v>
      </c>
      <c r="U36" s="0" t="n">
        <v>14</v>
      </c>
      <c r="V36" s="0" t="n">
        <v>3.5</v>
      </c>
      <c r="W36" s="0" t="n">
        <v>1</v>
      </c>
      <c r="X36" s="4" t="n">
        <v>1.38629436111989</v>
      </c>
      <c r="Y36" s="4" t="n">
        <v>0.147253772343488</v>
      </c>
      <c r="Z36" s="4" t="n">
        <v>2.2661800709136</v>
      </c>
      <c r="AA36" s="4" t="n">
        <v>0.240716238636421</v>
      </c>
      <c r="AB36" s="5" t="n">
        <v>10.6221143556071</v>
      </c>
    </row>
    <row r="37" customFormat="false" ht="12.8" hidden="false" customHeight="true" outlineLevel="0" collapsed="false">
      <c r="A37" s="0" t="s">
        <v>21</v>
      </c>
      <c r="B37" s="0" t="n">
        <f aca="false">PI()/B35</f>
        <v>8.90681836845375</v>
      </c>
      <c r="C37" s="0" t="n">
        <f aca="false">PI()/C35</f>
        <v>5.96334950246372</v>
      </c>
      <c r="D37" s="0" t="n">
        <f aca="false">PI()/D35</f>
        <v>4.13414846517742</v>
      </c>
      <c r="E37" s="0" t="n">
        <f aca="false">PI()/E35</f>
        <v>2.79518509464864</v>
      </c>
      <c r="F37" s="0" t="n">
        <f aca="false">PI()/F35</f>
        <v>2.2661800709136</v>
      </c>
      <c r="G37" s="0" t="n">
        <f aca="false">PI()/G35</f>
        <v>2.07485312228804</v>
      </c>
      <c r="T37" s="0" t="n">
        <v>1782</v>
      </c>
      <c r="U37" s="0" t="n">
        <v>25</v>
      </c>
      <c r="V37" s="0" t="n">
        <v>5.5</v>
      </c>
      <c r="W37" s="0" t="n">
        <v>1</v>
      </c>
      <c r="X37" s="4" t="n">
        <v>1.51412773262978</v>
      </c>
      <c r="Y37" s="4" t="n">
        <v>0.093083096263056</v>
      </c>
      <c r="Z37" s="4" t="n">
        <v>2.07485312228804</v>
      </c>
      <c r="AA37" s="4" t="n">
        <v>0.127554465024031</v>
      </c>
      <c r="AB37" s="5" t="n">
        <v>6.1476382908189</v>
      </c>
    </row>
    <row r="38" customFormat="false" ht="12.8" hidden="false" customHeight="false" outlineLevel="0" collapsed="false">
      <c r="A38" s="0" t="s">
        <v>29</v>
      </c>
      <c r="B38" s="0" t="n">
        <f aca="false">B37*B36/B35</f>
        <v>0.854011194867459</v>
      </c>
      <c r="C38" s="0" t="n">
        <f aca="false">C37*C36/C35</f>
        <v>0.550333519924411</v>
      </c>
      <c r="D38" s="0" t="n">
        <f aca="false">D37*D36/D35</f>
        <v>0.397781070439989</v>
      </c>
      <c r="E38" s="0" t="n">
        <f aca="false">E37*E36/E35</f>
        <v>0.201155468547466</v>
      </c>
      <c r="F38" s="0" t="n">
        <f aca="false">F37*F36/F35</f>
        <v>0.240716238636421</v>
      </c>
      <c r="G38" s="0" t="n">
        <f aca="false">G37*G36/G35</f>
        <v>0.127554465024031</v>
      </c>
      <c r="U38" s="1"/>
      <c r="V38" s="1"/>
      <c r="W38" s="1"/>
      <c r="X38" s="1"/>
    </row>
    <row r="39" customFormat="false" ht="12.8" hidden="false" customHeight="false" outlineLevel="0" collapsed="false">
      <c r="B39" s="0" t="n">
        <f aca="false">B38/B37*100</f>
        <v>9.58828573278426</v>
      </c>
      <c r="C39" s="0" t="n">
        <f aca="false">C38/C37*100</f>
        <v>9.22859744673768</v>
      </c>
      <c r="D39" s="0" t="n">
        <f aca="false">D38/D37*100</f>
        <v>9.62183805904799</v>
      </c>
      <c r="E39" s="0" t="n">
        <f aca="false">E38/E37*100</f>
        <v>7.19649904160468</v>
      </c>
      <c r="F39" s="0" t="n">
        <f aca="false">F38/F37*100</f>
        <v>10.6221143556071</v>
      </c>
      <c r="G39" s="0" t="n">
        <f aca="false">G38/G37*100</f>
        <v>6.1476382908189</v>
      </c>
    </row>
    <row r="40" customFormat="false" ht="12.8" hidden="false" customHeight="false" outlineLevel="0" collapsed="false"/>
    <row r="42" customFormat="false" ht="12.8" hidden="false" customHeight="true" outlineLevel="0" collapsed="false">
      <c r="A42" s="1" t="s">
        <v>33</v>
      </c>
      <c r="B42" s="1" t="n">
        <v>5990</v>
      </c>
    </row>
    <row r="43" customFormat="false" ht="12.8" hidden="false" customHeight="true" outlineLevel="0" collapsed="false">
      <c r="A43" s="1" t="s">
        <v>34</v>
      </c>
      <c r="B43" s="1" t="n">
        <v>90.4</v>
      </c>
      <c r="E43" s="0" t="s">
        <v>26</v>
      </c>
      <c r="I43" s="0" t="s">
        <v>35</v>
      </c>
      <c r="V43" s="1" t="s">
        <v>15</v>
      </c>
      <c r="W43" s="0" t="s">
        <v>36</v>
      </c>
      <c r="X43" s="0" t="s">
        <v>22</v>
      </c>
      <c r="Y43" s="0" t="s">
        <v>37</v>
      </c>
      <c r="Z43" s="0" t="s">
        <v>22</v>
      </c>
      <c r="AA43" s="0" t="s">
        <v>38</v>
      </c>
      <c r="AB43" s="0" t="s">
        <v>22</v>
      </c>
      <c r="AC43" s="0" t="s">
        <v>39</v>
      </c>
      <c r="AD43" s="0" t="s">
        <v>40</v>
      </c>
    </row>
    <row r="44" customFormat="false" ht="12.8" hidden="false" customHeight="true" outlineLevel="0" collapsed="false">
      <c r="A44" s="1" t="s">
        <v>41</v>
      </c>
      <c r="B44" s="1" t="n">
        <v>5330</v>
      </c>
      <c r="E44" s="0" t="s">
        <v>42</v>
      </c>
      <c r="F44" s="0" t="s">
        <v>43</v>
      </c>
      <c r="I44" s="3" t="n">
        <v>0.0001</v>
      </c>
      <c r="V44" s="0" t="n">
        <v>382</v>
      </c>
      <c r="W44" s="6" t="n">
        <v>10.6912838996511</v>
      </c>
      <c r="X44" s="6" t="n">
        <f aca="false">W44*SQRT($E$12^2+(1/2*$F$9)^2+(1/2*$G$9)^2)</f>
        <v>0.0121429642730098</v>
      </c>
      <c r="Y44" s="4" t="n">
        <v>9.5556895809956</v>
      </c>
      <c r="Z44" s="4" t="n">
        <v>0.940449649716937</v>
      </c>
      <c r="AA44" s="4" t="n">
        <v>8.90681836845375</v>
      </c>
      <c r="AB44" s="4" t="n">
        <v>0.854011194867459</v>
      </c>
      <c r="AC44" s="2" t="n">
        <v>8.56</v>
      </c>
      <c r="AD44" s="2" t="n">
        <v>9.49</v>
      </c>
    </row>
    <row r="45" customFormat="false" ht="12.8" hidden="false" customHeight="true" outlineLevel="0" collapsed="false">
      <c r="A45" s="1" t="s">
        <v>44</v>
      </c>
      <c r="B45" s="1" t="n">
        <v>6990</v>
      </c>
      <c r="E45" s="0" t="n">
        <v>2.7</v>
      </c>
      <c r="F45" s="0" t="n">
        <v>0.2</v>
      </c>
      <c r="G45" s="0" t="n">
        <f aca="false">E45+F45</f>
        <v>2.9</v>
      </c>
      <c r="V45" s="0" t="n">
        <v>592</v>
      </c>
      <c r="W45" s="6" t="n">
        <v>6.89876765146407</v>
      </c>
      <c r="X45" s="6" t="n">
        <f aca="false">W45*SQRT($E$12^2+(1/2*$F$9)^2+(1/2*$G$9)^2)</f>
        <v>0.00783549383832726</v>
      </c>
      <c r="Y45" s="4" t="n">
        <v>6.45783702832313</v>
      </c>
      <c r="Z45" s="4" t="n">
        <v>0.882201238654182</v>
      </c>
      <c r="AA45" s="4" t="n">
        <v>5.96334950246372</v>
      </c>
      <c r="AB45" s="4" t="n">
        <v>0.550333519924411</v>
      </c>
    </row>
    <row r="46" customFormat="false" ht="12.8" hidden="false" customHeight="true" outlineLevel="0" collapsed="false">
      <c r="V46" s="0" t="n">
        <v>872</v>
      </c>
      <c r="W46" s="6" t="n">
        <v>4.68356702943433</v>
      </c>
      <c r="X46" s="6" t="n">
        <f aca="false">W46*SQRT($E$12^2+(1/2*$F$9)^2+(1/2*$G$9)^2)</f>
        <v>0.00531950957831392</v>
      </c>
      <c r="Y46" s="4" t="n">
        <v>5.39446697796957</v>
      </c>
      <c r="Z46" s="4" t="n">
        <v>1.05757834156291</v>
      </c>
      <c r="AA46" s="4" t="n">
        <v>4.13414846517742</v>
      </c>
      <c r="AB46" s="4" t="n">
        <v>0.397781070439989</v>
      </c>
    </row>
    <row r="47" customFormat="false" ht="12.8" hidden="false" customHeight="true" outlineLevel="0" collapsed="false">
      <c r="V47" s="0" t="n">
        <v>1232</v>
      </c>
      <c r="W47" s="6" t="n">
        <v>3.31499224810611</v>
      </c>
      <c r="X47" s="6" t="n">
        <f aca="false">W47*SQRT($E$12^2+(1/2*$F$9)^2+(1/2*$G$9)^2)</f>
        <v>0.0037651074288066</v>
      </c>
      <c r="Y47" s="4" t="n">
        <v>3.85890204147203</v>
      </c>
      <c r="Z47" s="4" t="n">
        <v>0.991224816645858</v>
      </c>
      <c r="AA47" s="4" t="n">
        <v>2.79518509464864</v>
      </c>
      <c r="AB47" s="4" t="n">
        <v>0.201155468547466</v>
      </c>
    </row>
    <row r="48" customFormat="false" ht="12.8" hidden="false" customHeight="true" outlineLevel="0" collapsed="false">
      <c r="A48" s="1" t="s">
        <v>45</v>
      </c>
      <c r="B48" s="1" t="n">
        <v>6.99</v>
      </c>
      <c r="C48" s="1" t="n">
        <v>6.89</v>
      </c>
      <c r="D48" s="1" t="n">
        <v>6.79</v>
      </c>
      <c r="E48" s="1" t="n">
        <v>6.69</v>
      </c>
      <c r="F48" s="1" t="n">
        <v>6.59</v>
      </c>
      <c r="G48" s="1" t="n">
        <v>6.49</v>
      </c>
      <c r="H48" s="1" t="n">
        <v>6.39</v>
      </c>
      <c r="I48" s="1" t="n">
        <v>6.29</v>
      </c>
      <c r="J48" s="1" t="n">
        <v>6.19</v>
      </c>
      <c r="K48" s="1" t="n">
        <v>6.09</v>
      </c>
      <c r="L48" s="1" t="n">
        <v>5.99</v>
      </c>
      <c r="M48" s="1" t="n">
        <v>5.89</v>
      </c>
      <c r="N48" s="1" t="n">
        <v>5.79</v>
      </c>
      <c r="O48" s="1" t="n">
        <v>5.69</v>
      </c>
      <c r="P48" s="1" t="n">
        <v>5.59</v>
      </c>
      <c r="Q48" s="1" t="n">
        <v>5.49</v>
      </c>
      <c r="R48" s="1" t="n">
        <v>5.39</v>
      </c>
      <c r="V48" s="0" t="n">
        <v>1632</v>
      </c>
      <c r="W48" s="6" t="n">
        <v>2.50249414808011</v>
      </c>
      <c r="X48" s="6" t="n">
        <f aca="false">W48*SQRT($E$12^2+(1/2*$F$9)^2+(1/2*$G$9)^2)</f>
        <v>0.00284228698056969</v>
      </c>
      <c r="Y48" s="4" t="n">
        <v>3.1392695937606</v>
      </c>
      <c r="Z48" s="4" t="n">
        <v>0.791365341313932</v>
      </c>
      <c r="AA48" s="4" t="n">
        <v>2.2661800709136</v>
      </c>
      <c r="AB48" s="4" t="n">
        <v>0.240716238636421</v>
      </c>
    </row>
    <row r="49" customFormat="false" ht="12.8" hidden="false" customHeight="true" outlineLevel="0" collapsed="false">
      <c r="B49" s="0" t="n">
        <f aca="false">B48*$I$44</f>
        <v>0.000699</v>
      </c>
      <c r="C49" s="0" t="n">
        <f aca="false">C48*$I$44</f>
        <v>0.000689</v>
      </c>
      <c r="D49" s="0" t="n">
        <f aca="false">D48*$I$44</f>
        <v>0.000679</v>
      </c>
      <c r="E49" s="0" t="n">
        <f aca="false">E48*$I$44</f>
        <v>0.000669</v>
      </c>
      <c r="F49" s="0" t="n">
        <f aca="false">F48*$I$44</f>
        <v>0.000659</v>
      </c>
      <c r="G49" s="0" t="n">
        <f aca="false">G48*$I$44</f>
        <v>0.000649</v>
      </c>
      <c r="H49" s="0" t="n">
        <f aca="false">H48*$I$44</f>
        <v>0.000639</v>
      </c>
      <c r="I49" s="0" t="n">
        <f aca="false">I48*$I$44</f>
        <v>0.000629</v>
      </c>
      <c r="J49" s="0" t="n">
        <f aca="false">J48*$I$44</f>
        <v>0.000619</v>
      </c>
      <c r="K49" s="0" t="n">
        <f aca="false">K48*$I$44</f>
        <v>0.000609</v>
      </c>
      <c r="L49" s="0" t="n">
        <f aca="false">L48*$I$44</f>
        <v>0.000599</v>
      </c>
      <c r="M49" s="0" t="n">
        <f aca="false">M48*$I$44</f>
        <v>0.000589</v>
      </c>
      <c r="N49" s="0" t="n">
        <f aca="false">N48*$I$44</f>
        <v>0.000579</v>
      </c>
      <c r="O49" s="0" t="n">
        <f aca="false">O48*$I$44</f>
        <v>0.000569</v>
      </c>
      <c r="P49" s="0" t="n">
        <f aca="false">P48*$I$44</f>
        <v>0.000559</v>
      </c>
      <c r="Q49" s="0" t="n">
        <f aca="false">Q48*$I$44</f>
        <v>0.000549</v>
      </c>
      <c r="R49" s="0" t="n">
        <f aca="false">R48*$I$44</f>
        <v>0.000539</v>
      </c>
      <c r="V49" s="0" t="n">
        <v>1782</v>
      </c>
      <c r="W49" s="6" t="n">
        <v>2.29184649251781</v>
      </c>
      <c r="X49" s="6" t="n">
        <f aca="false">W49*SQRT($E$12^2+(1/2*$F$9)^2+(1/2*$G$9)^2)</f>
        <v>0.00260303723473049</v>
      </c>
      <c r="Y49" s="4" t="n">
        <v>2.17122913628125</v>
      </c>
      <c r="Z49" s="4" t="n">
        <v>0.481739728799928</v>
      </c>
      <c r="AA49" s="4" t="n">
        <v>2.07485312228804</v>
      </c>
      <c r="AB49" s="4" t="n">
        <v>0.127554465024031</v>
      </c>
    </row>
    <row r="50" customFormat="false" ht="12.8" hidden="false" customHeight="true" outlineLevel="0" collapsed="false">
      <c r="B50" s="0" t="n">
        <f aca="false">B48/$B$42*1000</f>
        <v>1.1669449081803</v>
      </c>
      <c r="C50" s="0" t="n">
        <f aca="false">C48/$B$42*1000</f>
        <v>1.15025041736227</v>
      </c>
      <c r="D50" s="0" t="n">
        <f aca="false">D48/$B$42*1000</f>
        <v>1.13355592654424</v>
      </c>
      <c r="E50" s="0" t="n">
        <f aca="false">E48/$B$42*1000</f>
        <v>1.11686143572621</v>
      </c>
      <c r="F50" s="0" t="n">
        <f aca="false">F48/$B$42*1000</f>
        <v>1.10016694490818</v>
      </c>
      <c r="G50" s="0" t="n">
        <f aca="false">G48/$B$42*1000</f>
        <v>1.08347245409015</v>
      </c>
      <c r="H50" s="0" t="n">
        <f aca="false">H48/$B$42*1000</f>
        <v>1.06677796327212</v>
      </c>
      <c r="I50" s="0" t="n">
        <f aca="false">I48/$B$42*1000</f>
        <v>1.05008347245409</v>
      </c>
      <c r="J50" s="0" t="n">
        <f aca="false">J48/$B$42*1000</f>
        <v>1.03338898163606</v>
      </c>
      <c r="K50" s="0" t="n">
        <f aca="false">K48/$B$42*1000</f>
        <v>1.01669449081803</v>
      </c>
      <c r="L50" s="0" t="n">
        <f aca="false">L48/$B$42*1000</f>
        <v>1</v>
      </c>
      <c r="M50" s="0" t="n">
        <f aca="false">M48/$B$42*1000</f>
        <v>0.98330550918197</v>
      </c>
      <c r="N50" s="0" t="n">
        <f aca="false">N48/$B$42*1000</f>
        <v>0.96661101836394</v>
      </c>
      <c r="O50" s="0" t="n">
        <f aca="false">O48/$B$42*1000</f>
        <v>0.94991652754591</v>
      </c>
      <c r="P50" s="0" t="n">
        <f aca="false">P48/$B$42*1000</f>
        <v>0.93322203672788</v>
      </c>
      <c r="Q50" s="0" t="n">
        <f aca="false">Q48/$B$42*1000</f>
        <v>0.91652754590985</v>
      </c>
      <c r="R50" s="0" t="n">
        <f aca="false">R48/$B$42*1000</f>
        <v>0.89983305509182</v>
      </c>
    </row>
    <row r="51" customFormat="false" ht="12.8" hidden="false" customHeight="true" outlineLevel="0" collapsed="false">
      <c r="B51" s="0" t="n">
        <f aca="false">B50*$I$44*SQRT(2)</f>
        <v>0.000165030931569081</v>
      </c>
      <c r="C51" s="0" t="n">
        <f aca="false">C50*$I$44*SQRT(2)</f>
        <v>0.000162669974035904</v>
      </c>
      <c r="D51" s="0" t="n">
        <f aca="false">D50*$I$44*SQRT(2)</f>
        <v>0.000160309016502727</v>
      </c>
      <c r="E51" s="0" t="n">
        <f aca="false">E50*$I$44*SQRT(2)</f>
        <v>0.000157948058969549</v>
      </c>
      <c r="F51" s="0" t="n">
        <f aca="false">F50*$I$44*SQRT(2)</f>
        <v>0.000155587101436372</v>
      </c>
      <c r="G51" s="0" t="n">
        <f aca="false">G50*$I$44*SQRT(2)</f>
        <v>0.000153226143903195</v>
      </c>
      <c r="H51" s="0" t="n">
        <f aca="false">H50*$I$44*SQRT(2)</f>
        <v>0.000150865186370018</v>
      </c>
      <c r="I51" s="0" t="n">
        <f aca="false">I50*$I$44*SQRT(2)</f>
        <v>0.000148504228836841</v>
      </c>
      <c r="J51" s="0" t="n">
        <f aca="false">J50*$I$44*SQRT(2)</f>
        <v>0.000146143271303664</v>
      </c>
      <c r="K51" s="0" t="n">
        <f aca="false">K50*$I$44*SQRT(2)</f>
        <v>0.000143782313770487</v>
      </c>
      <c r="L51" s="0" t="n">
        <f aca="false">L50*$I$44*SQRT(2)</f>
        <v>0.00014142135623731</v>
      </c>
      <c r="M51" s="0" t="n">
        <f aca="false">M50*$I$44*SQRT(2)</f>
        <v>0.000139060398704132</v>
      </c>
      <c r="N51" s="0" t="n">
        <f aca="false">N50*$I$44*SQRT(2)</f>
        <v>0.000136699441170955</v>
      </c>
      <c r="O51" s="0" t="n">
        <f aca="false">O50*$I$44*SQRT(2)</f>
        <v>0.000134338483637778</v>
      </c>
      <c r="P51" s="0" t="n">
        <f aca="false">P50*$I$44*SQRT(2)</f>
        <v>0.000131977526104601</v>
      </c>
      <c r="Q51" s="0" t="n">
        <f aca="false">Q50*$I$44*SQRT(2)</f>
        <v>0.000129616568571424</v>
      </c>
      <c r="R51" s="0" t="n">
        <f aca="false">R50*$I$44*SQRT(2)</f>
        <v>0.000127255611038247</v>
      </c>
    </row>
    <row r="53" customFormat="false" ht="12.8" hidden="false" customHeight="true" outlineLevel="0" collapsed="false">
      <c r="A53" s="1" t="s">
        <v>46</v>
      </c>
      <c r="B53" s="1" t="n">
        <v>36.4</v>
      </c>
      <c r="C53" s="1" t="n">
        <v>38.8</v>
      </c>
      <c r="D53" s="1" t="n">
        <v>41.6</v>
      </c>
      <c r="E53" s="1" t="n">
        <v>46</v>
      </c>
      <c r="F53" s="1" t="n">
        <v>50.8</v>
      </c>
      <c r="G53" s="1" t="n">
        <v>54</v>
      </c>
      <c r="H53" s="1" t="n">
        <v>62.8</v>
      </c>
      <c r="I53" s="1" t="n">
        <v>70.4</v>
      </c>
      <c r="J53" s="1" t="n">
        <v>79.6</v>
      </c>
      <c r="K53" s="1" t="n">
        <v>87.2</v>
      </c>
      <c r="L53" s="1" t="n">
        <v>87.6</v>
      </c>
      <c r="M53" s="1" t="n">
        <v>86</v>
      </c>
      <c r="N53" s="1" t="n">
        <v>77.2</v>
      </c>
      <c r="O53" s="1" t="n">
        <v>65.2</v>
      </c>
      <c r="P53" s="1" t="n">
        <v>55.2</v>
      </c>
      <c r="Q53" s="1" t="n">
        <v>46</v>
      </c>
      <c r="R53" s="1" t="n">
        <v>39.2</v>
      </c>
    </row>
    <row r="54" customFormat="false" ht="12.8" hidden="false" customHeight="true" outlineLevel="0" collapsed="false">
      <c r="A54" s="0" t="s">
        <v>47</v>
      </c>
      <c r="B54" s="0" t="n">
        <f aca="false">B53/$B$43</f>
        <v>0.402654867256637</v>
      </c>
      <c r="C54" s="0" t="n">
        <f aca="false">C53/$B$43</f>
        <v>0.429203539823009</v>
      </c>
      <c r="D54" s="0" t="n">
        <f aca="false">D53/$B$43</f>
        <v>0.460176991150442</v>
      </c>
      <c r="E54" s="0" t="n">
        <f aca="false">E53/$B$43</f>
        <v>0.508849557522124</v>
      </c>
      <c r="F54" s="0" t="n">
        <f aca="false">F53/$B$43</f>
        <v>0.561946902654867</v>
      </c>
      <c r="G54" s="0" t="n">
        <f aca="false">G53/$B$43</f>
        <v>0.597345132743363</v>
      </c>
      <c r="H54" s="0" t="n">
        <f aca="false">H53/$B$43</f>
        <v>0.694690265486726</v>
      </c>
      <c r="I54" s="0" t="n">
        <f aca="false">I53/$B$43</f>
        <v>0.778761061946903</v>
      </c>
      <c r="J54" s="0" t="n">
        <f aca="false">J53/$B$43</f>
        <v>0.880530973451327</v>
      </c>
      <c r="K54" s="0" t="n">
        <f aca="false">K53/$B$43</f>
        <v>0.964601769911504</v>
      </c>
      <c r="L54" s="0" t="n">
        <f aca="false">L53/$B$43</f>
        <v>0.969026548672566</v>
      </c>
      <c r="M54" s="0" t="n">
        <f aca="false">M53/$B$43</f>
        <v>0.951327433628319</v>
      </c>
      <c r="N54" s="0" t="n">
        <f aca="false">N53/$B$43</f>
        <v>0.853982300884956</v>
      </c>
      <c r="O54" s="0" t="n">
        <f aca="false">O53/$B$43</f>
        <v>0.721238938053097</v>
      </c>
      <c r="P54" s="0" t="n">
        <f aca="false">P53/$B$43</f>
        <v>0.610619469026549</v>
      </c>
      <c r="Q54" s="0" t="n">
        <f aca="false">Q53/$B$43</f>
        <v>0.508849557522124</v>
      </c>
      <c r="R54" s="0" t="n">
        <f aca="false">R53/$B$43</f>
        <v>0.433628318584071</v>
      </c>
    </row>
    <row r="55" customFormat="false" ht="12.8" hidden="false" customHeight="true" outlineLevel="0" collapsed="false">
      <c r="B55" s="0" t="n">
        <f aca="false">B54*$G$45*SQRT(1/B53^2+1/$B$43^2)</f>
        <v>0.0345825568632767</v>
      </c>
      <c r="C55" s="0" t="n">
        <f aca="false">C54*$G$45*SQRT(1/C53^2+1/$B$43^2)</f>
        <v>0.0349096078890388</v>
      </c>
      <c r="D55" s="0" t="n">
        <f aca="false">D54*$G$45*SQRT(1/D53^2+1/$B$43^2)</f>
        <v>0.0353133067304201</v>
      </c>
      <c r="E55" s="0" t="n">
        <f aca="false">E54*$G$45*SQRT(1/E53^2+1/$B$43^2)</f>
        <v>0.0359939900119289</v>
      </c>
      <c r="F55" s="0" t="n">
        <f aca="false">F54*$G$45*SQRT(1/F53^2+1/$B$43^2)</f>
        <v>0.0367978056218813</v>
      </c>
      <c r="G55" s="0" t="n">
        <f aca="false">G54*$G$45*SQRT(1/G53^2+1/$B$43^2)</f>
        <v>0.0373672277477569</v>
      </c>
      <c r="H55" s="0" t="n">
        <f aca="false">H54*$G$45*SQRT(1/H53^2+1/$B$43^2)</f>
        <v>0.039060767216373</v>
      </c>
      <c r="I55" s="0" t="n">
        <f aca="false">I54*$G$45*SQRT(1/I53^2+1/$B$43^2)</f>
        <v>0.0406598445532529</v>
      </c>
      <c r="J55" s="0" t="n">
        <f aca="false">J54*$G$45*SQRT(1/J53^2+1/$B$43^2)</f>
        <v>0.0427434624976108</v>
      </c>
      <c r="K55" s="0" t="n">
        <f aca="false">K54*$G$45*SQRT(1/K53^2+1/$B$43^2)</f>
        <v>0.0445717397187642</v>
      </c>
      <c r="L55" s="0" t="n">
        <f aca="false">L54*$G$45*SQRT(1/L53^2+1/$B$43^2)</f>
        <v>0.0446704025801002</v>
      </c>
      <c r="M55" s="0" t="n">
        <f aca="false">M54*$G$45*SQRT(1/M53^2+1/$B$43^2)</f>
        <v>0.0442771623748244</v>
      </c>
      <c r="N55" s="0" t="n">
        <f aca="false">N54*$G$45*SQRT(1/N53^2+1/$B$43^2)</f>
        <v>0.0421854757566855</v>
      </c>
      <c r="O55" s="0" t="n">
        <f aca="false">O54*$G$45*SQRT(1/O53^2+1/$B$43^2)</f>
        <v>0.0395528584843126</v>
      </c>
      <c r="P55" s="0" t="n">
        <f aca="false">P54*$G$45*SQRT(1/P53^2+1/$B$43^2)</f>
        <v>0.0375873823703692</v>
      </c>
      <c r="Q55" s="0" t="n">
        <f aca="false">Q54*$G$45*SQRT(1/Q53^2+1/$B$43^2)</f>
        <v>0.0359939900119289</v>
      </c>
      <c r="R55" s="0" t="n">
        <f aca="false">R54*$G$45*SQRT(1/R53^2+1/$B$43^2)</f>
        <v>0.0349658358441039</v>
      </c>
    </row>
    <row r="57" customFormat="false" ht="12.8" hidden="false" customHeight="true" outlineLevel="0" collapsed="false">
      <c r="A57" s="1" t="s">
        <v>48</v>
      </c>
      <c r="B57" s="1" t="n">
        <v>5</v>
      </c>
      <c r="C57" s="1" t="n">
        <v>6</v>
      </c>
      <c r="D57" s="1" t="n">
        <v>8</v>
      </c>
      <c r="E57" s="1" t="n">
        <v>8</v>
      </c>
      <c r="F57" s="1" t="n">
        <v>12</v>
      </c>
      <c r="G57" s="1" t="n">
        <v>12</v>
      </c>
      <c r="H57" s="1" t="n">
        <v>16</v>
      </c>
      <c r="I57" s="1" t="n">
        <v>18</v>
      </c>
      <c r="J57" s="1" t="n">
        <v>23</v>
      </c>
      <c r="K57" s="1" t="n">
        <v>31</v>
      </c>
      <c r="L57" s="1" t="n">
        <v>38</v>
      </c>
      <c r="M57" s="1" t="n">
        <v>45</v>
      </c>
      <c r="N57" s="1" t="n">
        <v>54</v>
      </c>
      <c r="O57" s="1" t="n">
        <v>61</v>
      </c>
      <c r="P57" s="1" t="n">
        <v>68</v>
      </c>
      <c r="Q57" s="1" t="n">
        <v>69</v>
      </c>
      <c r="R57" s="1" t="n">
        <v>75</v>
      </c>
    </row>
    <row r="58" customFormat="false" ht="12.8" hidden="false" customHeight="true" outlineLevel="0" collapsed="false">
      <c r="A58" s="7" t="s">
        <v>49</v>
      </c>
      <c r="B58" s="0" t="n">
        <v>1</v>
      </c>
      <c r="C58" s="0" t="n">
        <v>1</v>
      </c>
      <c r="D58" s="0" t="n">
        <v>1</v>
      </c>
      <c r="E58" s="0" t="n">
        <v>1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1</v>
      </c>
      <c r="P58" s="0" t="n">
        <v>1</v>
      </c>
      <c r="Q58" s="0" t="n">
        <v>1</v>
      </c>
      <c r="R58" s="0" t="n">
        <v>1</v>
      </c>
    </row>
    <row r="59" customFormat="false" ht="12.8" hidden="false" customHeight="true" outlineLevel="0" collapsed="false">
      <c r="A59" s="0" t="s">
        <v>50</v>
      </c>
      <c r="B59" s="0" t="n">
        <f aca="false">2*PI()*B48*1000*B57*10^-6</f>
        <v>0.219597326485927</v>
      </c>
      <c r="C59" s="0" t="n">
        <f aca="false">2*PI()*C48*1000*C57*10^-6</f>
        <v>0.259746880598804</v>
      </c>
      <c r="D59" s="0" t="n">
        <f aca="false">2*PI()*D48*1000*D57*10^-6</f>
        <v>0.341302625885995</v>
      </c>
      <c r="E59" s="0" t="n">
        <f aca="false">2*PI()*E48*1000*E57*10^-6</f>
        <v>0.336276077640251</v>
      </c>
      <c r="F59" s="0" t="n">
        <f aca="false">2*PI()*F48*1000*F57*10^-6</f>
        <v>0.496874294091762</v>
      </c>
      <c r="G59" s="0" t="n">
        <f aca="false">2*PI()*G48*1000*G57*10^-6</f>
        <v>0.489334471723146</v>
      </c>
      <c r="H59" s="0" t="n">
        <f aca="false">2*PI()*H48*1000*H57*10^-6</f>
        <v>0.642392865806041</v>
      </c>
      <c r="I59" s="0" t="n">
        <f aca="false">2*PI()*I48*1000*I57*10^-6</f>
        <v>0.711382240478873</v>
      </c>
      <c r="J59" s="0" t="n">
        <f aca="false">2*PI()*J48*1000*J57*10^-6</f>
        <v>0.894537092183158</v>
      </c>
      <c r="K59" s="0" t="n">
        <f aca="false">2*PI()*K48*1000*K57*10^-6</f>
        <v>1.18620255414243</v>
      </c>
      <c r="L59" s="0" t="n">
        <f aca="false">2*PI()*L48*1000*L57*10^-6</f>
        <v>1.43017863962022</v>
      </c>
      <c r="M59" s="0" t="n">
        <f aca="false">2*PI()*M48*1000*M57*10^-6</f>
        <v>1.66535826566795</v>
      </c>
      <c r="N59" s="0" t="n">
        <f aca="false">2*PI()*N48*1000*N57*10^-6</f>
        <v>1.96450071814277</v>
      </c>
      <c r="O59" s="0" t="n">
        <f aca="false">2*PI()*O48*1000*O57*10^-6</f>
        <v>2.18083078826896</v>
      </c>
      <c r="P59" s="0" t="n">
        <f aca="false">2*PI()*P48*1000*P57*10^-6</f>
        <v>2.3883643989651</v>
      </c>
      <c r="Q59" s="0" t="n">
        <f aca="false">2*PI()*Q48*1000*Q57*10^-6</f>
        <v>2.3801334262127</v>
      </c>
      <c r="R59" s="0" t="n">
        <f aca="false">2*PI()*R48*1000*R57*10^-6</f>
        <v>2.53997766042735</v>
      </c>
    </row>
    <row r="60" customFormat="false" ht="12.8" hidden="false" customHeight="true" outlineLevel="0" collapsed="false">
      <c r="A60" s="7" t="s">
        <v>49</v>
      </c>
      <c r="B60" s="0" t="n">
        <f aca="false">B59*SQRT(I44^2+(B58/B57)^2)</f>
        <v>0.0439194707871181</v>
      </c>
      <c r="C60" s="0" t="n">
        <f aca="false">C59*SQRT(J44^2+(C58/C57)^2)</f>
        <v>0.0432911467664673</v>
      </c>
      <c r="D60" s="0" t="n">
        <f aca="false">D59*SQRT(K44^2+(D58/D57)^2)</f>
        <v>0.0426628282357494</v>
      </c>
      <c r="E60" s="0" t="n">
        <f aca="false">E59*SQRT(L44^2+(E58/E57)^2)</f>
        <v>0.0420345097050314</v>
      </c>
      <c r="F60" s="0" t="n">
        <f aca="false">F59*SQRT(M44^2+(F58/F57)^2)</f>
        <v>0.0414061911743135</v>
      </c>
      <c r="G60" s="0" t="n">
        <f aca="false">G59*SQRT(N44^2+(G58/G57)^2)</f>
        <v>0.0407778726435955</v>
      </c>
      <c r="H60" s="0" t="n">
        <f aca="false">H59*SQRT(O44^2+(H58/H57)^2)</f>
        <v>0.0401495541128776</v>
      </c>
      <c r="I60" s="0" t="n">
        <f aca="false">I59*SQRT(P44^2+(I58/I57)^2)</f>
        <v>0.0395212355821596</v>
      </c>
      <c r="J60" s="0" t="n">
        <f aca="false">J59*SQRT(Q44^2+(J58/J57)^2)</f>
        <v>0.0388929170514416</v>
      </c>
      <c r="K60" s="0" t="n">
        <f aca="false">K59*SQRT(R44^2+(K58/K57)^2)</f>
        <v>0.0382645985207237</v>
      </c>
      <c r="L60" s="0" t="n">
        <f aca="false">L59*SQRT(S44^2+(L58/L57)^2)</f>
        <v>0.0376362799900057</v>
      </c>
      <c r="M60" s="0" t="n">
        <f aca="false">M59*SQRT(T44^2+(M58/M57)^2)</f>
        <v>0.0370079614592878</v>
      </c>
      <c r="N60" s="0" t="n">
        <f aca="false">N59*SQRT(U44^2+(N58/N57)^2)</f>
        <v>0.0363796429285698</v>
      </c>
      <c r="O60" s="0" t="n">
        <f aca="false">O59*SQRT(V44^2+(O58/O57)^2)</f>
        <v>833.077361885874</v>
      </c>
      <c r="P60" s="0" t="n">
        <f aca="false">P59*SQRT(W44^2+(P58/P57)^2)</f>
        <v>25.5347060010265</v>
      </c>
      <c r="Q60" s="0" t="n">
        <f aca="false">Q59*SQRT(Y44^2+(Q58/Q57)^2)</f>
        <v>22.74384234062</v>
      </c>
      <c r="R60" s="0" t="n">
        <f aca="false">R59*SQRT(AA44^2+(R58/R57)^2)</f>
        <v>22.623145029989</v>
      </c>
    </row>
    <row r="61" customFormat="false" ht="12.8" hidden="false" customHeight="true" outlineLevel="0" collapsed="false">
      <c r="A61" s="0" t="s">
        <v>51</v>
      </c>
    </row>
    <row r="62" customFormat="false" ht="12.8" hidden="false" customHeight="true" outlineLevel="0" collapsed="false">
      <c r="B62" s="0" t="n">
        <f aca="false">1/B18*SQRT($B$8/($B$13))</f>
        <v>10.6912838996511</v>
      </c>
      <c r="C62" s="0" t="n">
        <f aca="false">1/C18*SQRT($B$8/($B$13))</f>
        <v>6.89876765146407</v>
      </c>
      <c r="D62" s="0" t="n">
        <f aca="false">1/D18*SQRT($B$8/($B$13))</f>
        <v>4.68356702943433</v>
      </c>
      <c r="E62" s="0" t="n">
        <f aca="false">1/E18*SQRT($B$8/($B$13))</f>
        <v>3.31499224810611</v>
      </c>
      <c r="F62" s="0" t="n">
        <f aca="false">1/F18*SQRT($B$8/($B$13))</f>
        <v>2.50249414808011</v>
      </c>
      <c r="G62" s="0" t="n">
        <f aca="false">1/G18*SQRT($B$8/($B$13))</f>
        <v>2.29184649251781</v>
      </c>
    </row>
    <row r="66" customFormat="false" ht="12.8" hidden="false" customHeight="true" outlineLevel="0" collapsed="false">
      <c r="I66" s="0" t="s">
        <v>52</v>
      </c>
      <c r="N66" s="0" t="s">
        <v>53</v>
      </c>
    </row>
    <row r="67" customFormat="false" ht="12.8" hidden="false" customHeight="true" outlineLevel="0" collapsed="false">
      <c r="I67" s="2" t="s">
        <v>54</v>
      </c>
      <c r="J67" s="2" t="s">
        <v>55</v>
      </c>
      <c r="K67" s="2" t="s">
        <v>56</v>
      </c>
      <c r="L67" s="2" t="s">
        <v>57</v>
      </c>
      <c r="N67" s="2" t="s">
        <v>58</v>
      </c>
      <c r="O67" s="2" t="s">
        <v>59</v>
      </c>
      <c r="P67" s="2" t="s">
        <v>54</v>
      </c>
      <c r="Q67" s="2" t="s">
        <v>55</v>
      </c>
      <c r="R67" s="2" t="s">
        <v>60</v>
      </c>
      <c r="S67" s="2" t="s">
        <v>61</v>
      </c>
    </row>
    <row r="68" customFormat="false" ht="12.8" hidden="false" customHeight="true" outlineLevel="0" collapsed="false">
      <c r="I68" s="2" t="n">
        <v>0.9499</v>
      </c>
      <c r="J68" s="2" t="n">
        <v>1.0668</v>
      </c>
      <c r="K68" s="2" t="n">
        <v>0.1169</v>
      </c>
      <c r="L68" s="2" t="n">
        <v>8.56</v>
      </c>
      <c r="N68" s="2" t="s">
        <v>62</v>
      </c>
      <c r="O68" s="2" t="s">
        <v>63</v>
      </c>
      <c r="P68" s="2" t="s">
        <v>64</v>
      </c>
      <c r="Q68" s="2" t="s">
        <v>65</v>
      </c>
      <c r="R68" s="2" t="s">
        <v>66</v>
      </c>
      <c r="S68" s="2" t="s">
        <v>67</v>
      </c>
    </row>
    <row r="69" customFormat="false" ht="12.8" hidden="false" customHeight="true" outlineLevel="0" collapsed="false">
      <c r="I69" s="0" t="n">
        <f aca="false">I68*$B$42</f>
        <v>5689.901</v>
      </c>
      <c r="J69" s="0" t="n">
        <f aca="false">J68*$B$42</f>
        <v>6390.132</v>
      </c>
      <c r="K69" s="0" t="n">
        <f aca="false">K68*$B$42</f>
        <v>700.231</v>
      </c>
    </row>
    <row r="70" customFormat="false" ht="12.8" hidden="false" customHeight="true" outlineLevel="0" collapsed="false">
      <c r="B70" s="0" t="n">
        <f aca="false">B55*$B$43</f>
        <v>3.12626314044022</v>
      </c>
      <c r="C70" s="0" t="n">
        <f aca="false">C55*$B$43</f>
        <v>3.15582855316911</v>
      </c>
      <c r="D70" s="0" t="n">
        <f aca="false">D55*$B$43</f>
        <v>3.19232292842998</v>
      </c>
      <c r="E70" s="0" t="n">
        <f aca="false">E55*$B$43</f>
        <v>3.25385669707837</v>
      </c>
      <c r="F70" s="0" t="n">
        <f aca="false">F55*$B$43</f>
        <v>3.32652162821807</v>
      </c>
      <c r="G70" s="0" t="n">
        <f aca="false">G55*$B$43</f>
        <v>3.37799738839723</v>
      </c>
      <c r="H70" s="0" t="n">
        <f aca="false">H55*$B$43</f>
        <v>3.53109335636012</v>
      </c>
      <c r="I70" s="0" t="n">
        <f aca="false">I55*$B$43</f>
        <v>3.67564994761406</v>
      </c>
      <c r="J70" s="0" t="n">
        <f aca="false">J55*$B$43</f>
        <v>3.86400900978402</v>
      </c>
      <c r="K70" s="0" t="n">
        <f aca="false">K55*$B$43</f>
        <v>4.02928527057628</v>
      </c>
      <c r="L70" s="0" t="n">
        <f aca="false">L55*$B$43</f>
        <v>4.03820439324106</v>
      </c>
      <c r="M70" s="0" t="n">
        <f aca="false">M55*$B$43</f>
        <v>4.00265547868412</v>
      </c>
      <c r="N70" s="0" t="n">
        <f aca="false">N55*$B$43</f>
        <v>3.81356700840437</v>
      </c>
      <c r="O70" s="0" t="n">
        <f aca="false">O55*$B$43</f>
        <v>3.57557840698186</v>
      </c>
      <c r="P70" s="0" t="n">
        <f aca="false">P55*$B$43</f>
        <v>3.39789936628137</v>
      </c>
      <c r="Q70" s="0" t="n">
        <f aca="false">Q55*$B$43</f>
        <v>3.25385669707837</v>
      </c>
      <c r="R70" s="0" t="n">
        <f aca="false">R55*$B$43</f>
        <v>3.16091156030699</v>
      </c>
    </row>
    <row r="77" customFormat="false" ht="12.8" hidden="false" customHeight="true" outlineLevel="0" collapsed="false">
      <c r="B77" s="1" t="s">
        <v>45</v>
      </c>
      <c r="C77" s="1" t="s">
        <v>46</v>
      </c>
      <c r="D77" s="0" t="s">
        <v>68</v>
      </c>
      <c r="E77" s="1" t="s">
        <v>48</v>
      </c>
      <c r="F77" s="7" t="s">
        <v>49</v>
      </c>
      <c r="G77" s="0" t="s">
        <v>50</v>
      </c>
      <c r="H77" s="7" t="s">
        <v>49</v>
      </c>
    </row>
    <row r="78" customFormat="false" ht="12.8" hidden="false" customHeight="true" outlineLevel="0" collapsed="false">
      <c r="B78" s="1" t="n">
        <v>6.99</v>
      </c>
      <c r="C78" s="1" t="n">
        <v>36.4</v>
      </c>
      <c r="D78" s="0" t="n">
        <v>3.12626314044022</v>
      </c>
      <c r="E78" s="1" t="n">
        <v>5</v>
      </c>
      <c r="F78" s="0" t="n">
        <v>1</v>
      </c>
      <c r="G78" s="0" t="n">
        <v>0.219597326485927</v>
      </c>
      <c r="H78" s="0" t="n">
        <v>0.0439194707871181</v>
      </c>
    </row>
    <row r="79" customFormat="false" ht="12.8" hidden="false" customHeight="true" outlineLevel="0" collapsed="false">
      <c r="B79" s="1" t="n">
        <v>6.89</v>
      </c>
      <c r="C79" s="1" t="n">
        <v>38.8</v>
      </c>
      <c r="D79" s="0" t="n">
        <v>3.15582855316911</v>
      </c>
      <c r="E79" s="1" t="n">
        <v>6</v>
      </c>
      <c r="F79" s="0" t="n">
        <v>1</v>
      </c>
      <c r="G79" s="0" t="n">
        <v>0.259746880598804</v>
      </c>
      <c r="H79" s="0" t="n">
        <v>0.0432911467664673</v>
      </c>
    </row>
    <row r="80" customFormat="false" ht="12.8" hidden="false" customHeight="true" outlineLevel="0" collapsed="false">
      <c r="B80" s="1" t="n">
        <v>6.79</v>
      </c>
      <c r="C80" s="1" t="n">
        <v>41.6</v>
      </c>
      <c r="D80" s="0" t="n">
        <v>3.19232292842998</v>
      </c>
      <c r="E80" s="1" t="n">
        <v>8</v>
      </c>
      <c r="F80" s="0" t="n">
        <v>1</v>
      </c>
      <c r="G80" s="0" t="n">
        <v>0.341302625885995</v>
      </c>
      <c r="H80" s="0" t="n">
        <v>0.0426628282357494</v>
      </c>
    </row>
    <row r="81" customFormat="false" ht="12.8" hidden="false" customHeight="true" outlineLevel="0" collapsed="false">
      <c r="B81" s="1" t="n">
        <v>6.69</v>
      </c>
      <c r="C81" s="1" t="n">
        <v>46</v>
      </c>
      <c r="D81" s="0" t="n">
        <v>3.25385669707837</v>
      </c>
      <c r="E81" s="1" t="n">
        <v>8</v>
      </c>
      <c r="F81" s="0" t="n">
        <v>1</v>
      </c>
      <c r="G81" s="0" t="n">
        <v>0.336276077640251</v>
      </c>
      <c r="H81" s="0" t="n">
        <v>0.0420345097050314</v>
      </c>
    </row>
    <row r="82" customFormat="false" ht="12.8" hidden="false" customHeight="true" outlineLevel="0" collapsed="false">
      <c r="B82" s="1" t="n">
        <v>6.59</v>
      </c>
      <c r="C82" s="1" t="n">
        <v>50.8</v>
      </c>
      <c r="D82" s="0" t="n">
        <v>3.32652162821807</v>
      </c>
      <c r="E82" s="1" t="n">
        <v>12</v>
      </c>
      <c r="F82" s="0" t="n">
        <v>1</v>
      </c>
      <c r="G82" s="0" t="n">
        <v>0.496874294091762</v>
      </c>
      <c r="H82" s="0" t="n">
        <v>0.0414061911743135</v>
      </c>
    </row>
    <row r="83" customFormat="false" ht="12.8" hidden="false" customHeight="true" outlineLevel="0" collapsed="false">
      <c r="B83" s="1" t="n">
        <v>6.49</v>
      </c>
      <c r="C83" s="1" t="n">
        <v>54</v>
      </c>
      <c r="D83" s="0" t="n">
        <v>3.37799738839723</v>
      </c>
      <c r="E83" s="1" t="n">
        <v>12</v>
      </c>
      <c r="F83" s="0" t="n">
        <v>1</v>
      </c>
      <c r="G83" s="0" t="n">
        <v>0.489334471723146</v>
      </c>
      <c r="H83" s="0" t="n">
        <v>0.0407778726435955</v>
      </c>
    </row>
    <row r="84" customFormat="false" ht="12.8" hidden="false" customHeight="true" outlineLevel="0" collapsed="false">
      <c r="B84" s="1" t="n">
        <v>6.39</v>
      </c>
      <c r="C84" s="1" t="n">
        <v>62.8</v>
      </c>
      <c r="D84" s="0" t="n">
        <v>3.53109335636012</v>
      </c>
      <c r="E84" s="1" t="n">
        <v>16</v>
      </c>
      <c r="F84" s="0" t="n">
        <v>1</v>
      </c>
      <c r="G84" s="0" t="n">
        <v>0.642392865806041</v>
      </c>
      <c r="H84" s="0" t="n">
        <v>0.0401495541128776</v>
      </c>
    </row>
    <row r="85" customFormat="false" ht="12.8" hidden="false" customHeight="true" outlineLevel="0" collapsed="false">
      <c r="B85" s="1" t="n">
        <v>6.29</v>
      </c>
      <c r="C85" s="1" t="n">
        <v>70.4</v>
      </c>
      <c r="D85" s="0" t="n">
        <v>3.67564994761406</v>
      </c>
      <c r="E85" s="1" t="n">
        <v>18</v>
      </c>
      <c r="F85" s="0" t="n">
        <v>1</v>
      </c>
      <c r="G85" s="0" t="n">
        <v>0.711382240478873</v>
      </c>
      <c r="H85" s="0" t="n">
        <v>0.0395212355821596</v>
      </c>
    </row>
    <row r="86" customFormat="false" ht="12.8" hidden="false" customHeight="true" outlineLevel="0" collapsed="false">
      <c r="B86" s="1" t="n">
        <v>6.19</v>
      </c>
      <c r="C86" s="1" t="n">
        <v>79.6</v>
      </c>
      <c r="D86" s="0" t="n">
        <v>3.86400900978402</v>
      </c>
      <c r="E86" s="1" t="n">
        <v>23</v>
      </c>
      <c r="F86" s="0" t="n">
        <v>1</v>
      </c>
      <c r="G86" s="0" t="n">
        <v>0.894537092183158</v>
      </c>
      <c r="H86" s="0" t="n">
        <v>0.0388929170514416</v>
      </c>
    </row>
    <row r="87" customFormat="false" ht="12.8" hidden="false" customHeight="true" outlineLevel="0" collapsed="false">
      <c r="B87" s="1" t="n">
        <v>6.09</v>
      </c>
      <c r="C87" s="1" t="n">
        <v>87.2</v>
      </c>
      <c r="D87" s="0" t="n">
        <v>4.02928527057628</v>
      </c>
      <c r="E87" s="1" t="n">
        <v>31</v>
      </c>
      <c r="F87" s="0" t="n">
        <v>1</v>
      </c>
      <c r="G87" s="0" t="n">
        <v>1.18620255414243</v>
      </c>
      <c r="H87" s="0" t="n">
        <v>0.0382645985207237</v>
      </c>
    </row>
    <row r="88" customFormat="false" ht="12.8" hidden="false" customHeight="true" outlineLevel="0" collapsed="false">
      <c r="B88" s="1" t="n">
        <v>5.99</v>
      </c>
      <c r="C88" s="1" t="n">
        <v>87.6</v>
      </c>
      <c r="D88" s="0" t="n">
        <v>4.03820439324106</v>
      </c>
      <c r="E88" s="1" t="n">
        <v>38</v>
      </c>
      <c r="F88" s="0" t="n">
        <v>1</v>
      </c>
      <c r="G88" s="0" t="n">
        <v>1.43017863962022</v>
      </c>
      <c r="H88" s="0" t="n">
        <v>0.0376362799900057</v>
      </c>
    </row>
    <row r="89" customFormat="false" ht="12.8" hidden="false" customHeight="true" outlineLevel="0" collapsed="false">
      <c r="B89" s="1" t="n">
        <v>5.89</v>
      </c>
      <c r="C89" s="1" t="n">
        <v>86</v>
      </c>
      <c r="D89" s="0" t="n">
        <v>4.00265547868412</v>
      </c>
      <c r="E89" s="1" t="n">
        <v>45</v>
      </c>
      <c r="F89" s="0" t="n">
        <v>1</v>
      </c>
      <c r="G89" s="0" t="n">
        <v>1.66535826566795</v>
      </c>
      <c r="H89" s="0" t="n">
        <v>0.0370079614592878</v>
      </c>
    </row>
    <row r="90" customFormat="false" ht="12.8" hidden="false" customHeight="true" outlineLevel="0" collapsed="false">
      <c r="B90" s="1" t="n">
        <v>5.79</v>
      </c>
      <c r="C90" s="1" t="n">
        <v>77.2</v>
      </c>
      <c r="D90" s="0" t="n">
        <v>3.81356700840437</v>
      </c>
      <c r="E90" s="1" t="n">
        <v>54</v>
      </c>
      <c r="F90" s="0" t="n">
        <v>1</v>
      </c>
      <c r="G90" s="0" t="n">
        <v>1.96450071814277</v>
      </c>
      <c r="H90" s="0" t="n">
        <v>0.0363796429285698</v>
      </c>
    </row>
    <row r="91" customFormat="false" ht="12.8" hidden="false" customHeight="true" outlineLevel="0" collapsed="false">
      <c r="B91" s="1" t="n">
        <v>5.69</v>
      </c>
      <c r="C91" s="1" t="n">
        <v>65.2</v>
      </c>
      <c r="D91" s="0" t="n">
        <v>3.57557840698186</v>
      </c>
      <c r="E91" s="1" t="n">
        <v>61</v>
      </c>
      <c r="F91" s="0" t="n">
        <v>1</v>
      </c>
      <c r="G91" s="0" t="n">
        <v>2.18083078826896</v>
      </c>
      <c r="H91" s="0" t="n">
        <v>0.0357513243978518</v>
      </c>
    </row>
    <row r="92" customFormat="false" ht="12.8" hidden="false" customHeight="true" outlineLevel="0" collapsed="false">
      <c r="B92" s="1" t="n">
        <v>5.59</v>
      </c>
      <c r="C92" s="1" t="n">
        <v>55.2</v>
      </c>
      <c r="D92" s="0" t="n">
        <v>3.39789936628137</v>
      </c>
      <c r="E92" s="1" t="n">
        <v>68</v>
      </c>
      <c r="F92" s="0" t="n">
        <v>1</v>
      </c>
      <c r="G92" s="0" t="n">
        <v>2.3883643989651</v>
      </c>
      <c r="H92" s="0" t="n">
        <v>0.0351230058671339</v>
      </c>
    </row>
    <row r="93" customFormat="false" ht="12.8" hidden="false" customHeight="true" outlineLevel="0" collapsed="false">
      <c r="B93" s="1" t="n">
        <v>5.49</v>
      </c>
      <c r="C93" s="1" t="n">
        <v>46</v>
      </c>
      <c r="D93" s="0" t="n">
        <v>3.25385669707837</v>
      </c>
      <c r="E93" s="1" t="n">
        <v>69</v>
      </c>
      <c r="F93" s="0" t="n">
        <v>1</v>
      </c>
      <c r="G93" s="0" t="n">
        <v>2.3801334262127</v>
      </c>
      <c r="H93" s="0" t="n">
        <v>0.0344946873364159</v>
      </c>
    </row>
    <row r="94" customFormat="false" ht="12.8" hidden="false" customHeight="true" outlineLevel="0" collapsed="false">
      <c r="B94" s="1" t="n">
        <v>5.39</v>
      </c>
      <c r="C94" s="1" t="n">
        <v>39.2</v>
      </c>
      <c r="D94" s="0" t="n">
        <v>3.16091156030699</v>
      </c>
      <c r="E94" s="1" t="n">
        <v>75</v>
      </c>
      <c r="F94" s="0" t="n">
        <v>1</v>
      </c>
      <c r="G94" s="0" t="n">
        <v>2.53997766042735</v>
      </c>
      <c r="H94" s="0" t="n">
        <v>0.033866368805698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LibreOffice/25.8.0.4$Linux_X86_64 LibreOffice_project/580$Build-4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2025-09-27T21:10:05Z</dcterms:created>
  <dc:creator/>
  <dc:description/>
  <dc:language>ru-RU</dc:language>
  <cp:lastModifiedBy/>
  <dcterms:modified xsi:type="dcterms:W3CDTF">2025-09-28T23:18:08Z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