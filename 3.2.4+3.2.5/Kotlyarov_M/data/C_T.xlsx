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<sst xmlns="http://schemas.openxmlformats.org/spreadsheetml/2006/main" count="6" uniqueCount="6">
  <si>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С, нФ</t>
  </si>
  <si>
    <t xml:space="preserve">T_эксп, мкс</t>
  </si>
  <si>
    <t xml:space="preserve">T_теор, мкс</t>
  </si>
  <si>
    <t xml:space="preserve">L, Гн</t>
  </si>
  <si>
    <t xml:space="preserve">T, с</t>
  </si>
  <si>
    <t xml:space="preserve">C_0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</si>
</sst>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 customFormat="false" ht="12.8" hidden="false" customHeight="false" outlineLevel="0" collapsed="false">
      <c r="A2" s="1" t="s">
        <v>1</v>
      </c>
      <c r="B2" s="1" t="n">
        <v>90</v>
      </c>
      <c r="C2" s="1" t="n">
        <v>112</v>
      </c>
      <c r="D2" s="1" t="n">
        <v>128</v>
      </c>
      <c r="E2" s="1" t="n">
        <v>144</v>
      </c>
      <c r="F2" s="1" t="n">
        <v>152</v>
      </c>
      <c r="G2" s="1" t="n">
        <v>172</v>
      </c>
      <c r="H2" s="1" t="n">
        <v>180</v>
      </c>
      <c r="I2" s="1" t="n">
        <v>188</v>
      </c>
    </row>
    <row r="3" customFormat="false" ht="12.8" hidden="false" customHeight="true" outlineLevel="0" collapsed="false">
      <c r="A3" s="1" t="s">
        <v>2</v>
      </c>
      <c r="B3" s="1" t="n">
        <f aca="false">2*PI()*SQRT($B$8*(B1*10^-9+$B$10))*10^6</f>
        <v>90.403770720229</v>
      </c>
      <c r="C3" s="1" t="n">
        <f aca="false">2*PI()*SQRT($B$8*(C1*10^-9+$B$10))*10^6</f>
        <v>110.09397586095</v>
      </c>
      <c r="D3" s="1" t="n">
        <f aca="false">2*PI()*SQRT($B$8*(D1*10^-9+$B$10))*10^6</f>
        <v>126.761686961429</v>
      </c>
      <c r="E3" s="1" t="n">
        <f aca="false">2*PI()*SQRT($B$8*(E1*10^-9+$B$10))*10^6</f>
        <v>141.479210634436</v>
      </c>
      <c r="F3" s="1" t="n">
        <f aca="false">2*PI()*SQRT($B$8*(F1*10^-9+$B$10))*10^6</f>
        <v>154.803775154803</v>
      </c>
      <c r="G3" s="1" t="n">
        <f aca="false">2*PI()*SQRT($B$8*(G1*10^-9+$B$10))*10^6</f>
        <v>167.068999406277</v>
      </c>
      <c r="H3" s="1" t="n">
        <f aca="false">2*PI()*SQRT($B$8*(H1*10^-9+$B$10))*10^6</f>
        <v>178.493395740711</v>
      </c>
      <c r="I3" s="1" t="n">
        <f aca="false">2*PI()*SQRT($B$8*(I1*10^-9+$B$10))*10^6</f>
        <v>189.229316131211</v>
      </c>
    </row>
    <row r="8" customFormat="false" ht="12.8" hidden="false" customHeight="true" outlineLevel="0" collapsed="false">
      <c r="A8" s="0" t="s">
        <v>3</v>
      </c>
      <c r="B8" s="0" t="n">
        <v>0.1</v>
      </c>
    </row>
    <row r="9" customFormat="false" ht="12.8" hidden="false" customHeight="true" outlineLevel="0" collapsed="false">
      <c r="A9" s="0" t="s">
        <v>4</v>
      </c>
      <c r="B9" s="0" t="n">
        <f aca="false">65*10^-6</f>
        <v>6.5E-005</v>
      </c>
    </row>
    <row r="10" customFormat="false" ht="12.8" hidden="false" customHeight="true" outlineLevel="0" collapsed="false">
      <c r="A10" s="0" t="s">
        <v>5</v>
      </c>
      <c r="B10" s="0" t="n">
        <f aca="false">B9^2/4/PI()^2/B8</f>
        <v>1.07020500222219E-009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2025-09-27T21:05:28Z</dcterms:created>
  <dc:creator/>
  <dc:description/>
  <dc:language>ru-RU</dc:language>
  <cp:lastModifiedBy/>
  <dcterms:modified xsi:type="dcterms:W3CDTF">2025-09-27T22:43:17Z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