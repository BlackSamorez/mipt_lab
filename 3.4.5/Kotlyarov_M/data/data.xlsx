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<sst xmlns="http://schemas.openxmlformats.org/spreadsheetml/2006/main" count="137" uniqueCount="75">
  <si>
    <t xml:space="preserve">N_0</t>
  </si>
  <si>
    <t xml:space="preserve">N_u</t>
  </si>
  <si>
    <t xml:space="preserve">S, см^2</t>
  </si>
  <si>
    <t xml:space="preserve">2\pi R, см</t>
  </si>
  <si>
    <t xml:space="preserve">2x</t>
  </si>
  <si>
    <t xml:space="preserve">2y</t>
  </si>
  <si>
    <t xml:space="preserve">2X_s</t>
  </si>
  <si>
    <t xml:space="preserve">2Y_s</t>
  </si>
  <si>
    <t xml:space="preserve">I_эф, A</t>
  </si>
  <si>
    <t xml:space="preserve">scale x, мВ</t>
  </si>
  <si>
    <t xml:space="preserve">U_эф, В</t>
  </si>
  <si>
    <t xml:space="preserve">scale y, мВ</t>
  </si>
  <si>
    <t xml:space="preserve">2X_c</t>
  </si>
  <si>
    <t xml:space="preserve">2Y_r</t>
  </si>
  <si>
    <t xml:space="preserve">K_x</t>
  </si>
  <si>
    <t xml:space="preserve">K_y</t>
  </si>
  <si>
    <t xml:space="preserve">H_s</t>
  </si>
  <si>
    <t xml:space="preserve">B_s</t>
  </si>
  <si>
    <t xml:space="preserve">пермаллой</t>
  </si>
  <si>
    <t xml:space="preserve">феррит</t>
  </si>
  <si>
    <t xml:space="preserve">← прошлые</t>
  </si>
  <si>
    <t xml:space="preserve">крем. Жел</t>
  </si>
  <si>
    <t xml:space="preserve">погр</t>
  </si>
  <si>
    <t xml:space="preserve">R_u, кОм</t>
  </si>
  <si>
    <t xml:space="preserve">C_u, мкФ</t>
  </si>
  <si>
    <t xml:space="preserve">R_0, Ом</t>
  </si>
  <si>
    <t xml:space="preserve">\tau, Ом Ф</t>
  </si>
  <si>
    <t xml:space="preserve">← на одно деление</t>
  </si>
  <si>
    <t xml:space="preserve">подгон </t>
  </si>
  <si>
    <t xml:space="preserve">I эф</t>
  </si>
  <si>
    <t xml:space="preserve">U эф</t>
  </si>
  <si>
    <t xml:space="preserve">с подгонкой Леши</t>
  </si>
  <si>
    <t xml:space="preserve">U_вх, V</t>
  </si>
  <si>
    <t xml:space="preserve">← итог</t>
  </si>
  <si>
    <t xml:space="preserve">H, A/м</t>
  </si>
  <si>
    <t xml:space="preserve">B, Тл</t>
  </si>
  <si>
    <t xml:space="preserve">Лешины</t>
  </si>
  <si>
    <t xml:space="preserve">K_X, мВ/дел</t>
  </si>
  <si>
    <t xml:space="preserve">K_Y, мВ/дел</t>
  </si>
  <si>
    <t xml:space="preserve">I_эф, мА</t>
  </si>
  <si>
    <t xml:space="preserve">U_эф, мВ</t>
  </si>
  <si>
    <t xml:space="preserve">K_X^эксп, мВ/дел</t>
  </si>
  <si>
    <t xml:space="preserve">K_Y^эксп, мВ/дел</t>
  </si>
  <si>
    <t xml:space="preserve">\Delta K_X, мВ/дел</t>
  </si>
  <si>
    <t xml:space="preserve">\Delta K_Y, мВ/дел</t>
  </si>
  <si>
    <t xml:space="preserve">\varepsilon_{K_X}, \%</t>
  </si>
  <si>
    <t xml:space="preserve">\varepsilon_{K_Y}, \%</t>
  </si>
  <si>
    <t xml:space="preserve">U_вых</t>
  </si>
  <si>
    <t xml:space="preserve">материал</t>
  </si>
  <si>
    <t xml:space="preserve">H, \frac{А/м}{дел}</t>
  </si>
  <si>
    <t xml:space="preserve">B, \frac{Тл}{дел}</t>
  </si>
  <si>
    <t xml:space="preserve">\sigma_H, \frac{А/м}{дел}</t>
  </si>
  <si>
    <t xml:space="preserve">\sigma_B, \frac{Тл}{дел}</t>
  </si>
  <si>
    <t xml:space="preserve">\varepsilon_H, %</t>
  </si>
  <si>
    <t xml:space="preserve">\varepsilon_B, %</t>
  </si>
  <si>
    <t xml:space="preserve">крем. Железо</t>
  </si>
  <si>
    <t xml:space="preserve">H_max, А/м</t>
  </si>
  <si>
    <t xml:space="preserve">B_s, Тл</t>
  </si>
  <si>
    <t xml:space="preserve">2X_c, дел</t>
  </si>
  <si>
    <t xml:space="preserve">2Y_r, дел</t>
  </si>
  <si>
    <t xml:space="preserve">H_c, А/м</t>
  </si>
  <si>
    <t xml:space="preserve">B_r, Тл</t>
  </si>
  <si>
    <t xml:space="preserve">\mu_диф^нач</t>
  </si>
  <si>
    <t xml:space="preserve">\mu_диф^max</t>
  </si>
  <si>
    <t xml:space="preserve">Пермаллой нп50 (эксп)</t>
  </si>
  <si>
    <t xml:space="preserve">Пермаллой 45 (табл)</t>
  </si>
  <si>
    <t xml:space="preserve">Феррит нн1000 (эксп)</t>
  </si>
  <si>
    <t xml:space="preserve">Феррит Ni-Zn (табл)</t>
  </si>
  <si>
    <t xml:space="preserve">16-1600</t>
  </si>
  <si>
    <t xml:space="preserve">0,1-0,4</t>
  </si>
  <si>
    <t xml:space="preserve">10-2000</t>
  </si>
  <si>
    <t xml:space="preserve">-</t>
  </si>
  <si>
    <t xml:space="preserve">крем. Железо (эксп)</t>
  </si>
  <si>
    <t xml:space="preserve">крем. Железо 96Fe-4Si(табл)</t>
  </si>
  <si>
    <t xml:space="preserve">крем. Железо 97Fe-3Si(табл)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</si>
</sst>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.000"/>
    <numFmt numFmtId="167" formatCode="0.00"/>
    <numFmt numFmtId="168" formatCode="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66"/>
  <sheetViews>
    <sheetView showFormulas="false" showGridLines="true" showRowColHeaders="true" showZeros="true" rightToLeft="false" tabSelected="true" showOutlineSymbols="true" defaultGridColor="true" view="normal" topLeftCell="O43" colorId="64" zoomScale="140" zoomScaleNormal="140" zoomScalePageLayoutView="100" workbookViewId="0">
      <selection pane="topLeft" activeCell="R63" activeCellId="0" sqref="R63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customFormat="false" ht="12.8" hidden="false" customHeight="false" outlineLevel="0" collapsed="false">
      <c r="A2" s="1" t="s">
        <v>18</v>
      </c>
      <c r="B2" s="1" t="n">
        <v>40</v>
      </c>
      <c r="C2" s="1" t="n">
        <v>200</v>
      </c>
      <c r="D2" s="1" t="n">
        <v>3.8</v>
      </c>
      <c r="E2" s="1" t="n">
        <v>24</v>
      </c>
      <c r="F2" s="1" t="n">
        <v>18</v>
      </c>
      <c r="G2" s="1" t="n">
        <v>26</v>
      </c>
      <c r="H2" s="1" t="n">
        <v>18</v>
      </c>
      <c r="I2" s="1" t="n">
        <v>32</v>
      </c>
      <c r="J2" s="1" t="n">
        <v>0.165</v>
      </c>
      <c r="K2" s="2" t="n">
        <v>50</v>
      </c>
      <c r="L2" s="1" t="n">
        <v>9.1</v>
      </c>
      <c r="M2" s="2" t="n">
        <v>20</v>
      </c>
      <c r="N2" s="1" t="n">
        <v>10</v>
      </c>
      <c r="O2" s="1" t="n">
        <v>30</v>
      </c>
      <c r="P2" s="1"/>
      <c r="Q2" s="1" t="n">
        <f aca="false">2*SQRT(2)*L2/G2</f>
        <v>0.989949493661167</v>
      </c>
      <c r="R2" s="1" t="n">
        <f aca="false">B2*J6*H2/2/E2*100/$C$7</f>
        <v>0</v>
      </c>
      <c r="S2" s="1" t="n">
        <f aca="false">$D$7/D2*10000/C2*I2/2*Q2</f>
        <v>83.3641678872562</v>
      </c>
    </row>
    <row r="3" customFormat="false" ht="12.8" hidden="false" customHeight="false" outlineLevel="0" collapsed="false">
      <c r="A3" s="1" t="s">
        <v>19</v>
      </c>
      <c r="B3" s="1" t="n">
        <v>35</v>
      </c>
      <c r="C3" s="1" t="n">
        <v>400</v>
      </c>
      <c r="D3" s="1" t="n">
        <v>3</v>
      </c>
      <c r="E3" s="1" t="n">
        <v>25</v>
      </c>
      <c r="F3" s="1" t="n">
        <v>40</v>
      </c>
      <c r="G3" s="1" t="n">
        <v>22</v>
      </c>
      <c r="H3" s="1" t="n">
        <v>40</v>
      </c>
      <c r="I3" s="1" t="n">
        <v>30</v>
      </c>
      <c r="J3" s="1" t="n">
        <v>0.071</v>
      </c>
      <c r="K3" s="2" t="n">
        <v>20</v>
      </c>
      <c r="L3" s="1" t="n">
        <v>1.4</v>
      </c>
      <c r="M3" s="2" t="n">
        <v>20</v>
      </c>
      <c r="N3" s="1" t="n">
        <v>14</v>
      </c>
      <c r="O3" s="1" t="n">
        <v>18</v>
      </c>
      <c r="P3" s="1" t="n">
        <f aca="false">2*$C$7*SQRT(2)*J3/F3</f>
        <v>0.00150613744392735</v>
      </c>
      <c r="Q3" s="1" t="n">
        <f aca="false">2*SQRT(2)*L3/G3</f>
        <v>0.179990817029303</v>
      </c>
      <c r="R3" s="1" t="n">
        <f aca="false">B3*P3*H3/2/E3*100/$C$7</f>
        <v>14.0572828099886</v>
      </c>
      <c r="S3" s="1" t="n">
        <f aca="false">$D$7/D3*10000/C3*I3/2*Q3</f>
        <v>8.99954085146515</v>
      </c>
      <c r="T3" s="2" t="s">
        <v>20</v>
      </c>
    </row>
    <row r="4" customFormat="false" ht="12.8" hidden="false" customHeight="false" outlineLevel="0" collapsed="false">
      <c r="A4" s="1" t="s">
        <v>21</v>
      </c>
      <c r="B4" s="1" t="n">
        <v>40</v>
      </c>
      <c r="C4" s="1" t="n">
        <v>400</v>
      </c>
      <c r="D4" s="1" t="n">
        <v>1.2</v>
      </c>
      <c r="E4" s="1" t="n">
        <v>10</v>
      </c>
      <c r="F4" s="1" t="n">
        <v>30</v>
      </c>
      <c r="G4" s="1" t="n">
        <v>26</v>
      </c>
      <c r="H4" s="1" t="n">
        <v>30</v>
      </c>
      <c r="I4" s="1" t="n">
        <v>20</v>
      </c>
      <c r="J4" s="1" t="n">
        <v>0.54</v>
      </c>
      <c r="K4" s="2" t="n">
        <v>100</v>
      </c>
      <c r="L4" s="1" t="n">
        <v>9.21</v>
      </c>
      <c r="M4" s="2" t="n">
        <v>50</v>
      </c>
      <c r="N4" s="1" t="n">
        <v>5</v>
      </c>
      <c r="O4" s="1" t="n">
        <v>8</v>
      </c>
      <c r="P4" s="1" t="n">
        <f aca="false">2*$C$7*SQRT(2)*J4/F4</f>
        <v>0.0152735064736294</v>
      </c>
      <c r="Q4" s="1" t="n">
        <f aca="false">2*SQRT(2)*L4/G4</f>
        <v>1.00191591611202</v>
      </c>
      <c r="R4" s="1" t="n">
        <f aca="false">B4*P4*H4/2/E4*100/$C$7</f>
        <v>305.470129472588</v>
      </c>
      <c r="S4" s="1" t="n">
        <f aca="false">$D$7/D4*10000/C4*I4/2*Q4</f>
        <v>83.492993009335</v>
      </c>
    </row>
    <row r="5" customFormat="false" ht="12.8" hidden="false" customHeight="true" outlineLevel="0" collapsed="false">
      <c r="K5" s="0" t="s">
        <v>22</v>
      </c>
      <c r="M5" s="0" t="s">
        <v>22</v>
      </c>
    </row>
    <row r="6" customFormat="false" ht="12.8" hidden="false" customHeight="false" outlineLevel="0" collapsed="false">
      <c r="A6" s="1" t="s">
        <v>23</v>
      </c>
      <c r="B6" s="1" t="s">
        <v>24</v>
      </c>
      <c r="C6" s="1" t="s">
        <v>25</v>
      </c>
      <c r="D6" s="1" t="s">
        <v>26</v>
      </c>
      <c r="H6" s="2" t="n">
        <f aca="false">H2*K2</f>
        <v>900</v>
      </c>
      <c r="J6" s="1"/>
      <c r="K6" s="0" t="n">
        <f aca="false">SQRT(0.25+AJ18^2)</f>
        <v>0.891616484785443</v>
      </c>
      <c r="L6" s="1" t="n">
        <f aca="false">G2*M2/SQRT(2)/1000</f>
        <v>0.367695526217005</v>
      </c>
      <c r="N6" s="0" t="n">
        <f aca="false">SQRT(0.25+AK18^2)</f>
        <v>0.501429190310145</v>
      </c>
    </row>
    <row r="7" customFormat="false" ht="12.8" hidden="false" customHeight="false" outlineLevel="0" collapsed="false">
      <c r="A7" s="1" t="n">
        <v>20</v>
      </c>
      <c r="B7" s="1" t="n">
        <v>20</v>
      </c>
      <c r="C7" s="1" t="n">
        <v>0.3</v>
      </c>
      <c r="D7" s="1" t="n">
        <f aca="false">A7*B7/1000</f>
        <v>0.4</v>
      </c>
      <c r="H7" s="2" t="n">
        <f aca="false">H3*K3</f>
        <v>800</v>
      </c>
      <c r="J7" s="1" t="n">
        <f aca="false">F3*K12/2/SQRT(2)/20/1000</f>
        <v>0.00707106781186547</v>
      </c>
      <c r="K7" s="0" t="n">
        <f aca="false">SQRT(0.25+AJ19^2)</f>
        <v>0.618860301762259</v>
      </c>
      <c r="L7" s="1" t="n">
        <f aca="false">G3*M3/SQRT(2)/1000</f>
        <v>0.311126983722081</v>
      </c>
      <c r="N7" s="0" t="n">
        <f aca="false">SQRT(0.25+AK19^2)</f>
        <v>0.72313557482849</v>
      </c>
      <c r="P7" s="0" t="n">
        <f aca="false">Q7/R7*100</f>
        <v>1.78323296957089</v>
      </c>
      <c r="Q7" s="0" t="n">
        <f aca="false">R7*K6/K2</f>
        <v>0.495342491547469</v>
      </c>
      <c r="R7" s="2" t="n">
        <f aca="false">K2/1000*B2/$C$7/E2*100</f>
        <v>27.7777777777778</v>
      </c>
      <c r="S7" s="2" t="n">
        <f aca="false">$D$7/D2*10000/C2*M2/1000</f>
        <v>0.105263157894737</v>
      </c>
      <c r="T7" s="0" t="n">
        <f aca="false">S7*N6/M2</f>
        <v>0.00263910100163235</v>
      </c>
      <c r="U7" s="0" t="n">
        <f aca="false">T7/S7*100</f>
        <v>2.50714595155073</v>
      </c>
    </row>
    <row r="8" customFormat="false" ht="12.8" hidden="false" customHeight="false" outlineLevel="0" collapsed="false">
      <c r="H8" s="2" t="n">
        <f aca="false">H4*K4</f>
        <v>3000</v>
      </c>
      <c r="J8" s="1" t="n">
        <f aca="false">F4*K13/2/SQRT(2)/20/1000</f>
        <v>0.0530330085889911</v>
      </c>
      <c r="K8" s="0" t="n">
        <f aca="false">SQRT(0.25+AJ20^2)</f>
        <v>1.2507589792327</v>
      </c>
      <c r="L8" s="1" t="n">
        <f aca="false">G4*M4/SQRT(2)/1000</f>
        <v>0.919238815542512</v>
      </c>
      <c r="N8" s="0" t="n">
        <f aca="false">SQRT(0.25+AK20^2)</f>
        <v>1.1109386089613</v>
      </c>
      <c r="P8" s="0" t="n">
        <f aca="false">Q8/R8*100</f>
        <v>3.0943015088113</v>
      </c>
      <c r="Q8" s="0" t="n">
        <f aca="false">R8*K7/K3</f>
        <v>0.288801474155721</v>
      </c>
      <c r="R8" s="2" t="n">
        <f aca="false">K3/1000*B3/$C$7/E3*100</f>
        <v>9.33333333333333</v>
      </c>
      <c r="S8" s="2" t="n">
        <f aca="false">$D$7/D3*10000/C3*M3/1000</f>
        <v>0.0666666666666667</v>
      </c>
      <c r="T8" s="0" t="n">
        <f aca="false">S8*N7/M3</f>
        <v>0.00241045191609497</v>
      </c>
      <c r="U8" s="0" t="n">
        <f aca="false">T8/S8*100</f>
        <v>3.61567787414245</v>
      </c>
      <c r="W8" s="2" t="s">
        <v>27</v>
      </c>
    </row>
    <row r="9" customFormat="false" ht="12.8" hidden="false" customHeight="true" outlineLevel="0" collapsed="false">
      <c r="P9" s="0" t="n">
        <f aca="false">Q9/R9*100</f>
        <v>1.2507589792327</v>
      </c>
      <c r="Q9" s="0" t="n">
        <f aca="false">R9*K8/K4</f>
        <v>1.66767863897693</v>
      </c>
      <c r="R9" s="2" t="n">
        <f aca="false">K4/1000*B4/$C$7/E4*100</f>
        <v>133.333333333333</v>
      </c>
      <c r="S9" s="2" t="n">
        <f aca="false">$D$7/D4*10000/C4*M4/1000</f>
        <v>0.416666666666667</v>
      </c>
      <c r="T9" s="0" t="n">
        <f aca="false">S9*N8/M4</f>
        <v>0.00925782174134418</v>
      </c>
      <c r="U9" s="0" t="n">
        <f aca="false">T9/S9*100</f>
        <v>2.2218772179226</v>
      </c>
      <c r="W9" s="2" t="s">
        <v>28</v>
      </c>
      <c r="X9" s="2" t="s">
        <v>29</v>
      </c>
      <c r="Y9" s="2" t="s">
        <v>30</v>
      </c>
    </row>
    <row r="10" customFormat="false" ht="12.8" hidden="false" customHeight="true" outlineLevel="0" collapsed="false">
      <c r="Q10" s="2" t="s">
        <v>31</v>
      </c>
      <c r="X10" s="2" t="n">
        <f aca="false">K2/2/SQRT(2)/$C$7*F2/5/1000</f>
        <v>0.212132034355964</v>
      </c>
      <c r="Y10" s="2" t="n">
        <f aca="false">G2*M2/1000/2/SQRT(2)/5</f>
        <v>0.0367695526217005</v>
      </c>
    </row>
    <row r="11" customFormat="false" ht="12.8" hidden="false" customHeight="false" outlineLevel="0" collapsed="false">
      <c r="A11" s="1" t="s">
        <v>18</v>
      </c>
      <c r="K11" s="1" t="n">
        <v>50</v>
      </c>
      <c r="M11" s="1" t="n">
        <v>50</v>
      </c>
      <c r="N11" s="2" t="n">
        <f aca="false">R7*N2/2</f>
        <v>138.888888888889</v>
      </c>
      <c r="O11" s="2" t="n">
        <f aca="false">O2*S7/2</f>
        <v>1.57894736842105</v>
      </c>
      <c r="Q11" s="2" t="n">
        <f aca="false">U25*P25*S25</f>
        <v>34.8484848484848</v>
      </c>
      <c r="R11" s="2" t="n">
        <f aca="false">R7*H2/2/5</f>
        <v>50</v>
      </c>
      <c r="S11" s="2" t="n">
        <f aca="false">S7*I2/2/5</f>
        <v>0.336842105263158</v>
      </c>
      <c r="U11" s="2" t="n">
        <f aca="false">V25*Q25*R25</f>
        <v>0.368421052631579</v>
      </c>
      <c r="X11" s="2" t="n">
        <f aca="false">K3/2/SQRT(2)/$C$7*F3/5/1000</f>
        <v>0.188561808316413</v>
      </c>
      <c r="Y11" s="2" t="n">
        <f aca="false">G3*M3/1000/2/SQRT(2)/5</f>
        <v>0.0311126983722081</v>
      </c>
    </row>
    <row r="12" customFormat="false" ht="12.8" hidden="false" customHeight="false" outlineLevel="0" collapsed="false">
      <c r="A12" s="1" t="s">
        <v>32</v>
      </c>
      <c r="B12" s="1" t="n">
        <v>140</v>
      </c>
      <c r="C12" s="1" t="n">
        <v>120</v>
      </c>
      <c r="D12" s="1" t="n">
        <v>100</v>
      </c>
      <c r="E12" s="1" t="n">
        <v>80</v>
      </c>
      <c r="F12" s="1" t="n">
        <v>60</v>
      </c>
      <c r="G12" s="1" t="n">
        <v>40</v>
      </c>
      <c r="H12" s="1" t="n">
        <v>20</v>
      </c>
      <c r="K12" s="1" t="n">
        <v>10</v>
      </c>
      <c r="M12" s="1" t="n">
        <v>1000</v>
      </c>
      <c r="N12" s="2" t="n">
        <f aca="false">R8*N3/2</f>
        <v>65.3333333333333</v>
      </c>
      <c r="O12" s="2" t="n">
        <f aca="false">O3*S8/2</f>
        <v>0.6</v>
      </c>
      <c r="Q12" s="2" t="n">
        <f aca="false">U26*P26*S26</f>
        <v>37.5454545454546</v>
      </c>
      <c r="R12" s="2" t="n">
        <f aca="false">R8*H3/2/5</f>
        <v>37.3333333333333</v>
      </c>
      <c r="S12" s="2" t="n">
        <f aca="false">S8*I3/2/5</f>
        <v>0.2</v>
      </c>
      <c r="T12" s="2" t="s">
        <v>33</v>
      </c>
      <c r="U12" s="2" t="n">
        <f aca="false">V26*Q26*R26</f>
        <v>0.266666666666667</v>
      </c>
      <c r="X12" s="2" t="n">
        <f aca="false">K4/2/SQRT(2)/$C$7*F4/5/1000</f>
        <v>0.707106781186548</v>
      </c>
      <c r="Y12" s="2" t="n">
        <f aca="false">G4*M4/1000/2/SQRT(2)/5</f>
        <v>0.0919238815542512</v>
      </c>
    </row>
    <row r="13" customFormat="false" ht="12.8" hidden="false" customHeight="false" outlineLevel="0" collapsed="false">
      <c r="A13" s="1" t="s">
        <v>6</v>
      </c>
      <c r="B13" s="1" t="n">
        <v>18</v>
      </c>
      <c r="C13" s="1" t="n">
        <v>12</v>
      </c>
      <c r="D13" s="1" t="n">
        <v>11</v>
      </c>
      <c r="E13" s="1" t="n">
        <v>10</v>
      </c>
      <c r="F13" s="1" t="n">
        <v>10</v>
      </c>
      <c r="G13" s="1" t="n">
        <v>9</v>
      </c>
      <c r="H13" s="1" t="n">
        <v>8</v>
      </c>
      <c r="K13" s="1" t="n">
        <v>100</v>
      </c>
      <c r="M13" s="1" t="n">
        <v>5000</v>
      </c>
      <c r="N13" s="2" t="n">
        <f aca="false">R9*N4/2</f>
        <v>333.333333333333</v>
      </c>
      <c r="O13" s="2" t="n">
        <f aca="false">O4*S9/2</f>
        <v>1.66666666666667</v>
      </c>
      <c r="Q13" s="2" t="n">
        <f aca="false">U27*P27*S27</f>
        <v>654.545454545455</v>
      </c>
      <c r="R13" s="2" t="n">
        <f aca="false">R9*H4/2/5</f>
        <v>400</v>
      </c>
      <c r="S13" s="2" t="n">
        <f aca="false">S9*I4/2/5</f>
        <v>0.833333333333333</v>
      </c>
      <c r="U13" s="2" t="n">
        <f aca="false">V27*Q27*R27</f>
        <v>0.783333333333333</v>
      </c>
    </row>
    <row r="14" customFormat="false" ht="12.8" hidden="false" customHeight="false" outlineLevel="0" collapsed="false">
      <c r="A14" s="1" t="s">
        <v>7</v>
      </c>
      <c r="B14" s="1" t="n">
        <v>32</v>
      </c>
      <c r="C14" s="1" t="n">
        <v>28</v>
      </c>
      <c r="D14" s="1" t="n">
        <v>22</v>
      </c>
      <c r="E14" s="1" t="n">
        <v>18</v>
      </c>
      <c r="F14" s="1" t="n">
        <v>12</v>
      </c>
      <c r="G14" s="1" t="n">
        <v>7</v>
      </c>
      <c r="H14" s="1" t="n">
        <v>2</v>
      </c>
    </row>
    <row r="15" customFormat="false" ht="12.8" hidden="false" customHeight="true" outlineLevel="0" collapsed="false">
      <c r="A15" s="1" t="s">
        <v>18</v>
      </c>
    </row>
    <row r="16" customFormat="false" ht="12.8" hidden="false" customHeight="true" outlineLevel="0" collapsed="false">
      <c r="A16" s="0" t="s">
        <v>34</v>
      </c>
      <c r="B16" s="3" t="n">
        <f aca="false">B13/10*$T$35</f>
        <v>50</v>
      </c>
      <c r="C16" s="3" t="n">
        <f aca="false">C13/10*$T$35</f>
        <v>33.3333333333334</v>
      </c>
      <c r="D16" s="3" t="n">
        <f aca="false">D13/10*$T$35</f>
        <v>30.5555555555556</v>
      </c>
      <c r="E16" s="3" t="n">
        <f aca="false">E13/10*$T$35</f>
        <v>27.7777777777778</v>
      </c>
      <c r="F16" s="3" t="n">
        <f aca="false">F13/10*$T$35</f>
        <v>27.7777777777778</v>
      </c>
      <c r="G16" s="3" t="n">
        <f aca="false">G13/10*$T$35</f>
        <v>25</v>
      </c>
      <c r="H16" s="3" t="n">
        <f aca="false">H13/10*$T$35</f>
        <v>22.2222222222222</v>
      </c>
      <c r="X16" s="2" t="n">
        <v>0.209</v>
      </c>
      <c r="Y16" s="2" t="n">
        <f aca="false">0.0367</f>
        <v>0.0367</v>
      </c>
    </row>
    <row r="17" customFormat="false" ht="12.8" hidden="false" customHeight="true" outlineLevel="0" collapsed="false">
      <c r="A17" s="0" t="s">
        <v>35</v>
      </c>
      <c r="B17" s="4" t="n">
        <f aca="false">B14/10*$U$35</f>
        <v>0.336842105263158</v>
      </c>
      <c r="C17" s="4" t="n">
        <f aca="false">C14/10*$U$35</f>
        <v>0.294736842105264</v>
      </c>
      <c r="D17" s="4" t="n">
        <f aca="false">D14/10*$U$35</f>
        <v>0.231578947368421</v>
      </c>
      <c r="E17" s="4" t="n">
        <f aca="false">E14/10*$U$35</f>
        <v>0.189473684210527</v>
      </c>
      <c r="F17" s="4" t="n">
        <f aca="false">F14/10*$U$35</f>
        <v>0.126315789473684</v>
      </c>
      <c r="G17" s="4" t="n">
        <f aca="false">G14/10*$U$35</f>
        <v>0.0736842105263159</v>
      </c>
      <c r="H17" s="4" t="n">
        <f aca="false">H14/10*$U$35</f>
        <v>0.0210526315789474</v>
      </c>
      <c r="L17" s="2" t="s">
        <v>36</v>
      </c>
      <c r="X17" s="2" t="n">
        <v>0.192</v>
      </c>
      <c r="Y17" s="2" t="n">
        <v>0.0303</v>
      </c>
      <c r="AB17" s="0" t="s">
        <v>37</v>
      </c>
      <c r="AC17" s="0" t="s">
        <v>38</v>
      </c>
      <c r="AD17" s="1" t="s">
        <v>4</v>
      </c>
      <c r="AE17" s="1" t="s">
        <v>5</v>
      </c>
      <c r="AF17" s="0" t="s">
        <v>39</v>
      </c>
      <c r="AG17" s="0" t="s">
        <v>40</v>
      </c>
      <c r="AH17" s="0" t="s">
        <v>41</v>
      </c>
      <c r="AI17" s="0" t="s">
        <v>42</v>
      </c>
      <c r="AJ17" s="0" t="s">
        <v>43</v>
      </c>
      <c r="AK17" s="0" t="s">
        <v>44</v>
      </c>
      <c r="AL17" s="0" t="s">
        <v>45</v>
      </c>
      <c r="AM17" s="5" t="s">
        <v>46</v>
      </c>
    </row>
    <row r="18" customFormat="false" ht="12.8" hidden="false" customHeight="true" outlineLevel="0" collapsed="false">
      <c r="X18" s="2" t="n">
        <v>0.699</v>
      </c>
      <c r="Y18" s="2" t="n">
        <v>0.0901</v>
      </c>
      <c r="AB18" s="0" t="n">
        <f aca="false">K2</f>
        <v>50</v>
      </c>
      <c r="AC18" s="0" t="n">
        <f aca="false">M2</f>
        <v>20</v>
      </c>
      <c r="AD18" s="1" t="n">
        <v>18</v>
      </c>
      <c r="AE18" s="1" t="n">
        <v>26</v>
      </c>
      <c r="AF18" s="0" t="n">
        <f aca="false">X16*1000</f>
        <v>209</v>
      </c>
      <c r="AG18" s="0" t="n">
        <f aca="false">Y16*1000</f>
        <v>36.7</v>
      </c>
      <c r="AH18" s="4" t="n">
        <f aca="false">X20*1000</f>
        <v>49.2617724226628</v>
      </c>
      <c r="AI18" s="4" t="n">
        <f aca="false">Y20*1000</f>
        <v>19.9621683611895</v>
      </c>
      <c r="AJ18" s="4" t="n">
        <f aca="false">ABS(AH18-AB18)</f>
        <v>0.738227577337199</v>
      </c>
      <c r="AK18" s="4" t="n">
        <f aca="false">ABS(AI18-AC18)</f>
        <v>0.0378316388104985</v>
      </c>
      <c r="AL18" s="6" t="n">
        <f aca="false">AJ18/AB18*100</f>
        <v>1.4764551546744</v>
      </c>
      <c r="AM18" s="6" t="n">
        <f aca="false">AK18/AC18*100</f>
        <v>0.189158194052492</v>
      </c>
    </row>
    <row r="19" customFormat="false" ht="12.8" hidden="false" customHeight="true" outlineLevel="0" collapsed="false">
      <c r="L19" s="1" t="s">
        <v>9</v>
      </c>
      <c r="M19" s="1" t="s">
        <v>11</v>
      </c>
      <c r="N19" s="1" t="s">
        <v>6</v>
      </c>
      <c r="O19" s="1" t="s">
        <v>7</v>
      </c>
      <c r="P19" s="1" t="s">
        <v>0</v>
      </c>
      <c r="Q19" s="1" t="s">
        <v>1</v>
      </c>
      <c r="R19" s="1" t="s">
        <v>2</v>
      </c>
      <c r="S19" s="1" t="s">
        <v>3</v>
      </c>
      <c r="AB19" s="0" t="n">
        <f aca="false">K3</f>
        <v>20</v>
      </c>
      <c r="AC19" s="0" t="n">
        <f aca="false">M3</f>
        <v>20</v>
      </c>
      <c r="AD19" s="1" t="n">
        <v>40</v>
      </c>
      <c r="AE19" s="1" t="n">
        <v>22</v>
      </c>
      <c r="AF19" s="0" t="n">
        <f aca="false">X17*1000</f>
        <v>192</v>
      </c>
      <c r="AG19" s="0" t="n">
        <f aca="false">Y17*1000</f>
        <v>30.3</v>
      </c>
      <c r="AH19" s="4" t="n">
        <f aca="false">X21*1000</f>
        <v>20.3646752981726</v>
      </c>
      <c r="AI19" s="4" t="n">
        <f aca="false">Y21*1000</f>
        <v>19.4775776999567</v>
      </c>
      <c r="AJ19" s="4" t="n">
        <f aca="false">ABS(AH19-AB19)</f>
        <v>0.3646752981726</v>
      </c>
      <c r="AK19" s="4" t="n">
        <f aca="false">ABS(AI19-AC19)</f>
        <v>0.522422300043299</v>
      </c>
      <c r="AL19" s="6" t="n">
        <f aca="false">AJ19/AB19*100</f>
        <v>1.823376490863</v>
      </c>
      <c r="AM19" s="6" t="n">
        <f aca="false">AK19/AC19*100</f>
        <v>2.6121115002165</v>
      </c>
    </row>
    <row r="20" customFormat="false" ht="12.8" hidden="false" customHeight="false" outlineLevel="0" collapsed="false">
      <c r="A20" s="1" t="s">
        <v>19</v>
      </c>
      <c r="K20" s="1" t="s">
        <v>18</v>
      </c>
      <c r="L20" s="2" t="n">
        <v>20</v>
      </c>
      <c r="M20" s="2" t="n">
        <v>50</v>
      </c>
      <c r="N20" s="2" t="n">
        <v>23</v>
      </c>
      <c r="O20" s="2" t="n">
        <v>14</v>
      </c>
      <c r="P20" s="2" t="n">
        <v>15</v>
      </c>
      <c r="Q20" s="2" t="n">
        <v>300</v>
      </c>
      <c r="R20" s="2" t="n">
        <v>0.66</v>
      </c>
      <c r="S20" s="2" t="n">
        <v>14.1</v>
      </c>
      <c r="U20" s="2" t="n">
        <f aca="false">L20/1000*P20/S20*100/$M$26</f>
        <v>9.67117988394584</v>
      </c>
      <c r="V20" s="2" t="n">
        <f aca="false">$N$26/Q20/R20*10000*M20/1000</f>
        <v>1.01010101010101</v>
      </c>
      <c r="X20" s="2" t="n">
        <f aca="false">2*$C$7*SQRT(2)*X16/F2*5</f>
        <v>0.0492617724226628</v>
      </c>
      <c r="Y20" s="2" t="n">
        <f aca="false">2*SQRT(2)*Y16/G2*5</f>
        <v>0.0199621683611895</v>
      </c>
      <c r="AB20" s="0" t="n">
        <f aca="false">K4</f>
        <v>100</v>
      </c>
      <c r="AC20" s="0" t="n">
        <f aca="false">M4</f>
        <v>50</v>
      </c>
      <c r="AD20" s="1" t="n">
        <v>30</v>
      </c>
      <c r="AE20" s="1" t="n">
        <v>26</v>
      </c>
      <c r="AF20" s="0" t="n">
        <f aca="false">X18*1000</f>
        <v>699</v>
      </c>
      <c r="AG20" s="0" t="n">
        <f aca="false">Y18*1000</f>
        <v>90.1</v>
      </c>
      <c r="AH20" s="4" t="n">
        <f aca="false">X22*1000</f>
        <v>98.8535280098793</v>
      </c>
      <c r="AI20" s="4" t="n">
        <f aca="false">Y22*1000</f>
        <v>49.00793921916</v>
      </c>
      <c r="AJ20" s="4" t="n">
        <f aca="false">ABS(AH20-AB20)</f>
        <v>1.14647199012066</v>
      </c>
      <c r="AK20" s="4" t="n">
        <f aca="false">ABS(AI20-AC20)</f>
        <v>0.992060780839999</v>
      </c>
      <c r="AL20" s="6" t="n">
        <f aca="false">AJ20/AB20*100</f>
        <v>1.14647199012066</v>
      </c>
      <c r="AM20" s="6" t="n">
        <f aca="false">AK20/AC20*100</f>
        <v>1.98412156168</v>
      </c>
    </row>
    <row r="21" customFormat="false" ht="12.8" hidden="false" customHeight="false" outlineLevel="0" collapsed="false">
      <c r="A21" s="1" t="s">
        <v>47</v>
      </c>
      <c r="B21" s="1" t="n">
        <v>20</v>
      </c>
      <c r="C21" s="1" t="n">
        <v>15</v>
      </c>
      <c r="D21" s="1" t="n">
        <v>10</v>
      </c>
      <c r="E21" s="1" t="n">
        <v>5</v>
      </c>
      <c r="K21" s="2" t="s">
        <v>19</v>
      </c>
      <c r="L21" s="2" t="n">
        <v>10</v>
      </c>
      <c r="M21" s="2" t="n">
        <v>20</v>
      </c>
      <c r="N21" s="2" t="n">
        <v>59</v>
      </c>
      <c r="O21" s="2" t="n">
        <v>40</v>
      </c>
      <c r="P21" s="2" t="n">
        <v>45</v>
      </c>
      <c r="Q21" s="2" t="n">
        <v>400</v>
      </c>
      <c r="R21" s="2" t="n">
        <v>3</v>
      </c>
      <c r="S21" s="2" t="n">
        <v>25</v>
      </c>
      <c r="U21" s="2" t="n">
        <f aca="false">L21/1000*P21/S21*100/$M$26</f>
        <v>8.18181818181818</v>
      </c>
      <c r="V21" s="2" t="n">
        <f aca="false">$N$26/Q21/R21*10000*M21/1000</f>
        <v>0.0666666666666667</v>
      </c>
      <c r="X21" s="2" t="n">
        <f aca="false">2*$C$7*SQRT(2)*X17/F3*5</f>
        <v>0.0203646752981726</v>
      </c>
      <c r="Y21" s="2" t="n">
        <f aca="false">2*SQRT(2)*Y17/G3*5</f>
        <v>0.0194775776999567</v>
      </c>
    </row>
    <row r="22" customFormat="false" ht="12.8" hidden="false" customHeight="false" outlineLevel="0" collapsed="false">
      <c r="A22" s="1" t="s">
        <v>6</v>
      </c>
      <c r="B22" s="1" t="n">
        <v>40</v>
      </c>
      <c r="C22" s="1" t="n">
        <v>30</v>
      </c>
      <c r="D22" s="1" t="n">
        <v>14</v>
      </c>
      <c r="E22" s="1" t="n">
        <v>12</v>
      </c>
      <c r="K22" s="1" t="s">
        <v>21</v>
      </c>
      <c r="L22" s="2" t="n">
        <v>100</v>
      </c>
      <c r="M22" s="2" t="n">
        <v>20</v>
      </c>
      <c r="N22" s="2" t="n">
        <v>36</v>
      </c>
      <c r="O22" s="2" t="n">
        <v>47</v>
      </c>
      <c r="P22" s="2" t="n">
        <v>20</v>
      </c>
      <c r="Q22" s="2" t="n">
        <v>200</v>
      </c>
      <c r="R22" s="2" t="n">
        <v>2</v>
      </c>
      <c r="S22" s="2" t="n">
        <v>11</v>
      </c>
      <c r="U22" s="2" t="n">
        <f aca="false">L22/1000*P22/S22*100/$M$26</f>
        <v>82.6446280991736</v>
      </c>
      <c r="V22" s="2" t="n">
        <f aca="false">$N$26/Q22/R22*10000*M22/1000</f>
        <v>0.2</v>
      </c>
      <c r="X22" s="2" t="n">
        <f aca="false">2*$C$7*SQRT(2)*X18/F4*5</f>
        <v>0.0988535280098793</v>
      </c>
      <c r="Y22" s="2" t="n">
        <f aca="false">2*SQRT(2)*Y18/G4*5</f>
        <v>0.04900793921916</v>
      </c>
    </row>
    <row r="23" customFormat="false" ht="12.8" hidden="false" customHeight="false" outlineLevel="0" collapsed="false">
      <c r="A23" s="1" t="s">
        <v>7</v>
      </c>
      <c r="B23" s="1" t="n">
        <v>30</v>
      </c>
      <c r="C23" s="1" t="n">
        <v>24</v>
      </c>
      <c r="D23" s="1" t="n">
        <v>4</v>
      </c>
      <c r="E23" s="1" t="n">
        <v>2</v>
      </c>
    </row>
    <row r="24" customFormat="false" ht="12.8" hidden="false" customHeight="false" outlineLevel="0" collapsed="false">
      <c r="A24" s="1" t="s">
        <v>19</v>
      </c>
    </row>
    <row r="25" customFormat="false" ht="12.8" hidden="false" customHeight="true" outlineLevel="0" collapsed="false">
      <c r="A25" s="0" t="s">
        <v>34</v>
      </c>
      <c r="B25" s="3" t="n">
        <f aca="false">B22/10*$T$36</f>
        <v>37.3333333333333</v>
      </c>
      <c r="C25" s="3" t="n">
        <f aca="false">C22/10*$T$36</f>
        <v>28</v>
      </c>
      <c r="D25" s="3" t="n">
        <f aca="false">D22/10*$T$36</f>
        <v>13.0666666666667</v>
      </c>
      <c r="E25" s="3" t="n">
        <f aca="false">E22/10*$T$36</f>
        <v>11.2</v>
      </c>
      <c r="F25" s="3"/>
      <c r="G25" s="3"/>
      <c r="H25" s="3"/>
      <c r="K25" s="1" t="s">
        <v>23</v>
      </c>
      <c r="L25" s="1" t="s">
        <v>24</v>
      </c>
      <c r="M25" s="1" t="s">
        <v>25</v>
      </c>
      <c r="N25" s="1" t="s">
        <v>26</v>
      </c>
      <c r="P25" s="2" t="n">
        <f aca="false">B2/P20</f>
        <v>2.66666666666667</v>
      </c>
      <c r="Q25" s="2" t="n">
        <f aca="false">Q20/C2</f>
        <v>1.5</v>
      </c>
      <c r="R25" s="2" t="n">
        <f aca="false">R20/D2</f>
        <v>0.173684210526316</v>
      </c>
      <c r="S25" s="2" t="n">
        <f aca="false">S20/E2</f>
        <v>0.5875</v>
      </c>
      <c r="U25" s="2" t="n">
        <f aca="false">N20*U20/10</f>
        <v>22.2437137330754</v>
      </c>
      <c r="V25" s="2" t="n">
        <f aca="false">V20*O20/10</f>
        <v>1.41414141414141</v>
      </c>
    </row>
    <row r="26" customFormat="false" ht="12.8" hidden="false" customHeight="true" outlineLevel="0" collapsed="false">
      <c r="A26" s="0" t="s">
        <v>35</v>
      </c>
      <c r="B26" s="4" t="n">
        <f aca="false">B23/10*$U$36</f>
        <v>0.2</v>
      </c>
      <c r="C26" s="4" t="n">
        <f aca="false">C23/10*$U$36</f>
        <v>0.16</v>
      </c>
      <c r="D26" s="4" t="n">
        <f aca="false">D23/10*$U$36</f>
        <v>0.0266666666666667</v>
      </c>
      <c r="E26" s="4" t="n">
        <f aca="false">E23/10*$U$36</f>
        <v>0.0133333333333333</v>
      </c>
      <c r="F26" s="4"/>
      <c r="G26" s="4"/>
      <c r="H26" s="4"/>
      <c r="K26" s="2" t="n">
        <v>20</v>
      </c>
      <c r="L26" s="2" t="n">
        <v>20</v>
      </c>
      <c r="M26" s="2" t="n">
        <v>0.22</v>
      </c>
      <c r="N26" s="1" t="n">
        <f aca="false">K26*L26/1000</f>
        <v>0.4</v>
      </c>
      <c r="P26" s="2" t="n">
        <f aca="false">B3/P21</f>
        <v>0.777777777777778</v>
      </c>
      <c r="Q26" s="2" t="n">
        <f aca="false">Q21/C3</f>
        <v>1</v>
      </c>
      <c r="R26" s="2" t="n">
        <f aca="false">R21/D3</f>
        <v>1</v>
      </c>
      <c r="S26" s="2" t="n">
        <f aca="false">S21/E3</f>
        <v>1</v>
      </c>
      <c r="U26" s="2" t="n">
        <f aca="false">N21*U21/10</f>
        <v>48.2727272727273</v>
      </c>
      <c r="V26" s="2" t="n">
        <f aca="false">V21*O21/10</f>
        <v>0.266666666666667</v>
      </c>
    </row>
    <row r="27" customFormat="false" ht="12.8" hidden="false" customHeight="true" outlineLevel="0" collapsed="false">
      <c r="P27" s="2" t="n">
        <f aca="false">B4/P22</f>
        <v>2</v>
      </c>
      <c r="Q27" s="2" t="n">
        <f aca="false">Q22/C4</f>
        <v>0.5</v>
      </c>
      <c r="R27" s="2" t="n">
        <f aca="false">R22/D4</f>
        <v>1.66666666666667</v>
      </c>
      <c r="S27" s="2" t="n">
        <f aca="false">S22/E4</f>
        <v>1.1</v>
      </c>
      <c r="U27" s="2" t="n">
        <f aca="false">N22*U22/10</f>
        <v>297.520661157025</v>
      </c>
      <c r="V27" s="2" t="n">
        <f aca="false">V22*O22/10</f>
        <v>0.94</v>
      </c>
    </row>
    <row r="33" customFormat="false" ht="12.8" hidden="false" customHeight="false" outlineLevel="0" collapsed="false">
      <c r="A33" s="1" t="s">
        <v>21</v>
      </c>
    </row>
    <row r="34" customFormat="false" ht="12.8" hidden="false" customHeight="false" outlineLevel="0" collapsed="false">
      <c r="A34" s="1" t="s">
        <v>47</v>
      </c>
      <c r="B34" s="1" t="n">
        <v>145</v>
      </c>
      <c r="C34" s="1" t="n">
        <v>120</v>
      </c>
      <c r="D34" s="1" t="n">
        <v>100</v>
      </c>
      <c r="E34" s="1" t="n">
        <v>80</v>
      </c>
      <c r="F34" s="1" t="n">
        <v>60</v>
      </c>
      <c r="G34" s="1" t="n">
        <v>40</v>
      </c>
      <c r="H34" s="1" t="n">
        <v>20</v>
      </c>
      <c r="S34" s="0" t="s">
        <v>48</v>
      </c>
      <c r="T34" s="1" t="s">
        <v>49</v>
      </c>
      <c r="U34" s="1" t="s">
        <v>50</v>
      </c>
      <c r="V34" s="0" t="s">
        <v>51</v>
      </c>
      <c r="W34" s="0" t="s">
        <v>52</v>
      </c>
      <c r="X34" s="0" t="s">
        <v>53</v>
      </c>
      <c r="Y34" s="0" t="s">
        <v>54</v>
      </c>
    </row>
    <row r="35" customFormat="false" ht="12.8" hidden="false" customHeight="false" outlineLevel="0" collapsed="false">
      <c r="A35" s="1" t="s">
        <v>6</v>
      </c>
      <c r="B35" s="1" t="n">
        <v>30</v>
      </c>
      <c r="C35" s="1" t="n">
        <v>22</v>
      </c>
      <c r="D35" s="1" t="n">
        <v>18</v>
      </c>
      <c r="E35" s="1" t="n">
        <v>14</v>
      </c>
      <c r="F35" s="1" t="n">
        <v>9</v>
      </c>
      <c r="G35" s="1" t="n">
        <v>6</v>
      </c>
      <c r="H35" s="1" t="n">
        <v>3</v>
      </c>
      <c r="S35" s="0" t="s">
        <v>18</v>
      </c>
      <c r="T35" s="0" t="n">
        <f aca="false">R7</f>
        <v>27.7777777777778</v>
      </c>
      <c r="U35" s="0" t="n">
        <f aca="false">S7</f>
        <v>0.105263157894737</v>
      </c>
      <c r="V35" s="0" t="n">
        <f aca="false">Q7</f>
        <v>0.495342491547469</v>
      </c>
      <c r="W35" s="0" t="n">
        <f aca="false">T7</f>
        <v>0.00263910100163235</v>
      </c>
      <c r="X35" s="0" t="n">
        <f aca="false">P7</f>
        <v>1.78323296957089</v>
      </c>
      <c r="Y35" s="0" t="n">
        <f aca="false">U7</f>
        <v>2.50714595155073</v>
      </c>
    </row>
    <row r="36" customFormat="false" ht="12.8" hidden="false" customHeight="false" outlineLevel="0" collapsed="false">
      <c r="A36" s="1" t="s">
        <v>7</v>
      </c>
      <c r="B36" s="1" t="n">
        <v>20</v>
      </c>
      <c r="C36" s="1" t="n">
        <v>17</v>
      </c>
      <c r="D36" s="1" t="n">
        <v>16</v>
      </c>
      <c r="E36" s="1" t="n">
        <v>14</v>
      </c>
      <c r="F36" s="1" t="n">
        <v>10</v>
      </c>
      <c r="G36" s="1" t="n">
        <v>8</v>
      </c>
      <c r="H36" s="1" t="n">
        <v>4</v>
      </c>
      <c r="S36" s="0" t="s">
        <v>19</v>
      </c>
      <c r="T36" s="0" t="n">
        <f aca="false">R8</f>
        <v>9.33333333333333</v>
      </c>
      <c r="U36" s="0" t="n">
        <f aca="false">S8</f>
        <v>0.0666666666666667</v>
      </c>
      <c r="V36" s="0" t="n">
        <f aca="false">Q8</f>
        <v>0.288801474155721</v>
      </c>
      <c r="W36" s="0" t="n">
        <f aca="false">T8</f>
        <v>0.00241045191609497</v>
      </c>
      <c r="X36" s="0" t="n">
        <f aca="false">P8</f>
        <v>3.0943015088113</v>
      </c>
      <c r="Y36" s="0" t="n">
        <f aca="false">U8</f>
        <v>3.61567787414245</v>
      </c>
    </row>
    <row r="37" customFormat="false" ht="12.8" hidden="false" customHeight="true" outlineLevel="0" collapsed="false">
      <c r="A37" s="1" t="s">
        <v>21</v>
      </c>
      <c r="S37" s="0" t="s">
        <v>55</v>
      </c>
      <c r="T37" s="0" t="n">
        <f aca="false">R9</f>
        <v>133.333333333333</v>
      </c>
      <c r="U37" s="0" t="n">
        <f aca="false">S9</f>
        <v>0.416666666666667</v>
      </c>
      <c r="V37" s="0" t="n">
        <f aca="false">Q9</f>
        <v>1.66767863897693</v>
      </c>
      <c r="W37" s="0" t="n">
        <f aca="false">T9</f>
        <v>0.00925782174134418</v>
      </c>
      <c r="X37" s="0" t="n">
        <f aca="false">P9</f>
        <v>1.2507589792327</v>
      </c>
      <c r="Y37" s="0" t="n">
        <f aca="false">U9</f>
        <v>2.2218772179226</v>
      </c>
    </row>
    <row r="38" customFormat="false" ht="12.8" hidden="false" customHeight="true" outlineLevel="0" collapsed="false">
      <c r="A38" s="0" t="s">
        <v>34</v>
      </c>
      <c r="B38" s="3" t="n">
        <f aca="false">B35/10*$T$37</f>
        <v>399.999999999999</v>
      </c>
      <c r="C38" s="3" t="n">
        <f aca="false">C35/10*$T$37</f>
        <v>293.333333333333</v>
      </c>
      <c r="D38" s="3" t="n">
        <f aca="false">D35/10*$T$37</f>
        <v>239.999999999999</v>
      </c>
      <c r="E38" s="3" t="n">
        <f aca="false">E35/10*$T$37</f>
        <v>186.666666666666</v>
      </c>
      <c r="F38" s="3" t="n">
        <f aca="false">F35/10*$T$37</f>
        <v>120</v>
      </c>
      <c r="G38" s="3" t="n">
        <f aca="false">G35/10*$T$37</f>
        <v>79.9999999999998</v>
      </c>
      <c r="H38" s="3" t="n">
        <f aca="false">H35/10*$T$37</f>
        <v>39.9999999999999</v>
      </c>
    </row>
    <row r="39" customFormat="false" ht="12.8" hidden="false" customHeight="true" outlineLevel="0" collapsed="false">
      <c r="A39" s="0" t="s">
        <v>35</v>
      </c>
      <c r="B39" s="4" t="n">
        <f aca="false">B36/10*$U$37</f>
        <v>0.833333333333334</v>
      </c>
      <c r="C39" s="4" t="n">
        <f aca="false">C36/10*$U$37</f>
        <v>0.708333333333334</v>
      </c>
      <c r="D39" s="4" t="n">
        <f aca="false">D36/10*$U$37</f>
        <v>0.666666666666667</v>
      </c>
      <c r="E39" s="4" t="n">
        <f aca="false">E36/10*$U$37</f>
        <v>0.583333333333334</v>
      </c>
      <c r="F39" s="4" t="n">
        <f aca="false">F36/10*$U$37</f>
        <v>0.416666666666667</v>
      </c>
      <c r="G39" s="4" t="n">
        <f aca="false">G36/10*$U$37</f>
        <v>0.333333333333334</v>
      </c>
      <c r="H39" s="4" t="n">
        <f aca="false">H36/10*$U$37</f>
        <v>0.166666666666667</v>
      </c>
    </row>
    <row r="40" customFormat="false" ht="12.8" hidden="false" customHeight="true" outlineLevel="0" collapsed="false">
      <c r="S40" s="0" t="s">
        <v>48</v>
      </c>
      <c r="T40" s="1" t="s">
        <v>0</v>
      </c>
      <c r="U40" s="1" t="s">
        <v>1</v>
      </c>
      <c r="V40" s="1" t="s">
        <v>2</v>
      </c>
      <c r="W40" s="1" t="s">
        <v>3</v>
      </c>
    </row>
    <row r="41" customFormat="false" ht="12.8" hidden="false" customHeight="true" outlineLevel="0" collapsed="false">
      <c r="S41" s="1" t="s">
        <v>18</v>
      </c>
      <c r="T41" s="1" t="n">
        <v>40</v>
      </c>
      <c r="U41" s="1" t="n">
        <v>200</v>
      </c>
      <c r="V41" s="1" t="n">
        <v>3.8</v>
      </c>
      <c r="W41" s="1" t="n">
        <v>24</v>
      </c>
    </row>
    <row r="42" customFormat="false" ht="12.8" hidden="false" customHeight="true" outlineLevel="0" collapsed="false">
      <c r="S42" s="1" t="s">
        <v>19</v>
      </c>
      <c r="T42" s="1" t="n">
        <v>35</v>
      </c>
      <c r="U42" s="1" t="n">
        <v>400</v>
      </c>
      <c r="V42" s="1" t="n">
        <v>3</v>
      </c>
      <c r="W42" s="1" t="n">
        <v>25</v>
      </c>
    </row>
    <row r="43" customFormat="false" ht="12.8" hidden="false" customHeight="true" outlineLevel="0" collapsed="false">
      <c r="S43" s="1" t="s">
        <v>21</v>
      </c>
      <c r="T43" s="1" t="n">
        <v>40</v>
      </c>
      <c r="U43" s="1" t="n">
        <v>400</v>
      </c>
      <c r="V43" s="1" t="n">
        <v>1.2</v>
      </c>
      <c r="W43" s="1" t="n">
        <v>10</v>
      </c>
    </row>
    <row r="46" customFormat="false" ht="12.8" hidden="false" customHeight="true" outlineLevel="0" collapsed="false">
      <c r="S46" s="0" t="s">
        <v>48</v>
      </c>
      <c r="T46" s="1" t="s">
        <v>56</v>
      </c>
      <c r="U46" s="1" t="s">
        <v>57</v>
      </c>
      <c r="V46" s="0" t="s">
        <v>22</v>
      </c>
      <c r="W46" s="0" t="s">
        <v>22</v>
      </c>
      <c r="X46" s="0" t="s">
        <v>58</v>
      </c>
      <c r="Y46" s="0" t="s">
        <v>59</v>
      </c>
      <c r="Z46" s="1" t="s">
        <v>60</v>
      </c>
      <c r="AA46" s="1" t="s">
        <v>61</v>
      </c>
      <c r="AB46" s="0" t="s">
        <v>22</v>
      </c>
      <c r="AC46" s="0" t="s">
        <v>22</v>
      </c>
    </row>
    <row r="47" customFormat="false" ht="12.8" hidden="false" customHeight="true" outlineLevel="0" collapsed="false">
      <c r="S47" s="0" t="s">
        <v>18</v>
      </c>
      <c r="T47" s="3" t="n">
        <f aca="false">R11</f>
        <v>50</v>
      </c>
      <c r="U47" s="4" t="n">
        <f aca="false">S11</f>
        <v>0.336842105263158</v>
      </c>
      <c r="V47" s="0" t="n">
        <f aca="false">Q7*H2/10</f>
        <v>0.891616484785444</v>
      </c>
      <c r="W47" s="0" t="n">
        <f aca="false">T7*I2/10</f>
        <v>0.00844512320522351</v>
      </c>
      <c r="X47" s="7" t="n">
        <v>10</v>
      </c>
      <c r="Y47" s="7" t="n">
        <v>30</v>
      </c>
      <c r="Z47" s="3" t="n">
        <f aca="false">T35*X47/10</f>
        <v>27.7777777777778</v>
      </c>
      <c r="AA47" s="4" t="n">
        <f aca="false">U35*Y47/10</f>
        <v>0.315789473684211</v>
      </c>
      <c r="AB47" s="0" t="n">
        <f aca="false">Q7*X47/10</f>
        <v>0.495342491547469</v>
      </c>
      <c r="AC47" s="0" t="n">
        <f aca="false">T7*Y47/10</f>
        <v>0.00791730300489705</v>
      </c>
    </row>
    <row r="48" customFormat="false" ht="12.8" hidden="false" customHeight="true" outlineLevel="0" collapsed="false">
      <c r="S48" s="0" t="s">
        <v>19</v>
      </c>
      <c r="T48" s="3" t="n">
        <f aca="false">R12</f>
        <v>37.3333333333333</v>
      </c>
      <c r="U48" s="4" t="n">
        <f aca="false">S12</f>
        <v>0.2</v>
      </c>
      <c r="V48" s="0" t="n">
        <f aca="false">Q8*H3/10</f>
        <v>1.15520589662288</v>
      </c>
      <c r="W48" s="0" t="n">
        <f aca="false">T8*I3/10</f>
        <v>0.00723135574828491</v>
      </c>
      <c r="X48" s="7" t="n">
        <v>14</v>
      </c>
      <c r="Y48" s="7" t="n">
        <v>18</v>
      </c>
      <c r="Z48" s="3" t="n">
        <f aca="false">T36*X48/10</f>
        <v>13.0666666666667</v>
      </c>
      <c r="AA48" s="4" t="n">
        <f aca="false">U36*Y48/10</f>
        <v>0.12</v>
      </c>
      <c r="AB48" s="0" t="n">
        <f aca="false">Q8*X48/10</f>
        <v>0.404322063818009</v>
      </c>
      <c r="AC48" s="0" t="n">
        <f aca="false">T8*Y48/10</f>
        <v>0.00433881344897094</v>
      </c>
    </row>
    <row r="49" customFormat="false" ht="12.8" hidden="false" customHeight="true" outlineLevel="0" collapsed="false">
      <c r="S49" s="0" t="s">
        <v>55</v>
      </c>
      <c r="T49" s="3" t="n">
        <f aca="false">R13</f>
        <v>400</v>
      </c>
      <c r="U49" s="4" t="n">
        <f aca="false">S13</f>
        <v>0.833333333333333</v>
      </c>
      <c r="V49" s="0" t="n">
        <f aca="false">Q9*H4/10</f>
        <v>5.00303591693079</v>
      </c>
      <c r="W49" s="0" t="n">
        <f aca="false">T9*I4/10</f>
        <v>0.0185156434826884</v>
      </c>
      <c r="X49" s="7" t="n">
        <v>5</v>
      </c>
      <c r="Y49" s="7" t="n">
        <v>8</v>
      </c>
      <c r="Z49" s="3" t="n">
        <f aca="false">T37*X49/10</f>
        <v>66.6666666666665</v>
      </c>
      <c r="AA49" s="4" t="n">
        <f aca="false">U37*Y49/10</f>
        <v>0.333333333333334</v>
      </c>
      <c r="AB49" s="0" t="n">
        <f aca="false">Q9*X49/10</f>
        <v>0.833839319488464</v>
      </c>
      <c r="AC49" s="0" t="n">
        <f aca="false">T9*Y49/10</f>
        <v>0.00740625739307534</v>
      </c>
    </row>
    <row r="51" customFormat="false" ht="12.8" hidden="false" customHeight="true" outlineLevel="0" collapsed="false">
      <c r="R51" s="0" t="s">
        <v>48</v>
      </c>
      <c r="S51" s="0" t="s">
        <v>62</v>
      </c>
      <c r="T51" s="5" t="s">
        <v>63</v>
      </c>
    </row>
    <row r="52" customFormat="false" ht="12.8" hidden="false" customHeight="true" outlineLevel="0" collapsed="false">
      <c r="R52" s="0" t="s">
        <v>18</v>
      </c>
      <c r="S52" s="8" t="n">
        <v>15062.9</v>
      </c>
      <c r="T52" s="8" t="n">
        <v>23873.2</v>
      </c>
    </row>
    <row r="53" customFormat="false" ht="12.8" hidden="false" customHeight="true" outlineLevel="0" collapsed="false">
      <c r="R53" s="0" t="s">
        <v>19</v>
      </c>
      <c r="S53" s="8" t="n">
        <v>5863.6</v>
      </c>
      <c r="T53" s="8" t="n">
        <v>6003.8</v>
      </c>
    </row>
    <row r="54" customFormat="false" ht="12.8" hidden="false" customHeight="true" outlineLevel="0" collapsed="false">
      <c r="R54" s="0" t="s">
        <v>55</v>
      </c>
      <c r="S54" s="8" t="n">
        <v>3302.5</v>
      </c>
      <c r="T54" s="8" t="n">
        <v>3302.5</v>
      </c>
    </row>
    <row r="59" customFormat="false" ht="12.8" hidden="false" customHeight="true" outlineLevel="0" collapsed="false">
      <c r="R59" s="0" t="s">
        <v>48</v>
      </c>
      <c r="S59" s="1" t="s">
        <v>60</v>
      </c>
      <c r="T59" s="1" t="s">
        <v>57</v>
      </c>
      <c r="U59" s="0" t="s">
        <v>62</v>
      </c>
      <c r="V59" s="5" t="s">
        <v>63</v>
      </c>
    </row>
    <row r="60" customFormat="false" ht="12.8" hidden="false" customHeight="true" outlineLevel="0" collapsed="false">
      <c r="R60" s="0" t="s">
        <v>64</v>
      </c>
      <c r="S60" s="3" t="n">
        <f aca="false">Z47</f>
        <v>27.7777777777778</v>
      </c>
      <c r="T60" s="4" t="n">
        <f aca="false">U47</f>
        <v>0.336842105263158</v>
      </c>
      <c r="U60" s="9" t="n">
        <f aca="false">S52</f>
        <v>15062.9</v>
      </c>
      <c r="V60" s="9" t="n">
        <f aca="false">T52</f>
        <v>23873.2</v>
      </c>
    </row>
    <row r="61" customFormat="false" ht="12.8" hidden="false" customHeight="true" outlineLevel="0" collapsed="false">
      <c r="R61" s="0" t="s">
        <v>65</v>
      </c>
      <c r="S61" s="0" t="n">
        <v>5.6</v>
      </c>
      <c r="T61" s="0" t="n">
        <v>1.6</v>
      </c>
      <c r="U61" s="0" t="n">
        <v>1200</v>
      </c>
      <c r="V61" s="0" t="n">
        <v>3500</v>
      </c>
    </row>
    <row r="62" customFormat="false" ht="12.8" hidden="false" customHeight="true" outlineLevel="0" collapsed="false">
      <c r="R62" s="0" t="s">
        <v>66</v>
      </c>
      <c r="S62" s="3" t="n">
        <f aca="false">Z48</f>
        <v>13.0666666666667</v>
      </c>
      <c r="T62" s="4" t="n">
        <f aca="false">U48</f>
        <v>0.2</v>
      </c>
      <c r="U62" s="9" t="n">
        <f aca="false">S53</f>
        <v>5863.6</v>
      </c>
      <c r="V62" s="9" t="n">
        <f aca="false">T53</f>
        <v>6003.8</v>
      </c>
    </row>
    <row r="63" customFormat="false" ht="12.8" hidden="false" customHeight="true" outlineLevel="0" collapsed="false">
      <c r="R63" s="0" t="s">
        <v>67</v>
      </c>
      <c r="S63" s="0" t="s">
        <v>68</v>
      </c>
      <c r="T63" s="0" t="s">
        <v>69</v>
      </c>
      <c r="U63" s="0" t="s">
        <v>70</v>
      </c>
      <c r="V63" s="0" t="s">
        <v>71</v>
      </c>
    </row>
    <row r="64" customFormat="false" ht="12.8" hidden="false" customHeight="true" outlineLevel="0" collapsed="false">
      <c r="R64" s="5" t="s">
        <v>72</v>
      </c>
      <c r="S64" s="3" t="n">
        <f aca="false">Z49</f>
        <v>66.6666666666665</v>
      </c>
      <c r="T64" s="4" t="n">
        <f aca="false">U49</f>
        <v>0.833333333333333</v>
      </c>
      <c r="U64" s="0" t="n">
        <f aca="false">S54</f>
        <v>3302.5</v>
      </c>
      <c r="V64" s="0" t="n">
        <f aca="false">T54</f>
        <v>3302.5</v>
      </c>
    </row>
    <row r="65" customFormat="false" ht="12.8" hidden="false" customHeight="true" outlineLevel="0" collapsed="false">
      <c r="R65" s="5" t="s">
        <v>73</v>
      </c>
      <c r="S65" s="0" t="n">
        <v>40</v>
      </c>
      <c r="T65" s="0" t="n">
        <v>1.95</v>
      </c>
      <c r="U65" s="0" t="n">
        <v>500</v>
      </c>
      <c r="V65" s="0" t="n">
        <v>7000</v>
      </c>
    </row>
    <row r="66" customFormat="false" ht="12.8" hidden="false" customHeight="true" outlineLevel="0" collapsed="false">
      <c r="R66" s="5" t="s">
        <v>74</v>
      </c>
      <c r="S66" s="0" t="n">
        <v>12</v>
      </c>
      <c r="T66" s="0" t="n">
        <v>2.01</v>
      </c>
      <c r="U66" s="0" t="n">
        <v>9000</v>
      </c>
      <c r="V66" s="0" t="n">
        <v>40000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852</TotalTime>
  <Application>LibreOffice/25.8.0.4$Linux_X86_64 LibreOffice_project/580$Build-4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2025-09-12T09:32:00Z</dcterms:created>
  <dc:creator/>
  <dc:description/>
  <dc:language>ru-RU</dc:language>
  <cp:lastModifiedBy/>
  <dcterms:modified xsi:type="dcterms:W3CDTF">2025-09-18T01:29:42Z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